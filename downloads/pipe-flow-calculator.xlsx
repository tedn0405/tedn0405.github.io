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e Check" sheetId="1" state="visible" r:id="rId1"/>
    <sheet name="Partial Flow" sheetId="2" state="visible" r:id="rId2"/>
    <sheet name="Pipe Schedu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9"/>
    </font>
    <font>
      <name val="Arial"/>
      <b val="1"/>
    </font>
    <font>
      <name val="Arial"/>
    </font>
    <font>
      <name val="Arial"/>
      <color rgb="000000FF"/>
    </font>
  </fonts>
  <fills count="4">
    <fill>
      <patternFill/>
    </fill>
    <fill>
      <patternFill patternType="gray125"/>
    </fill>
    <fill>
      <patternFill patternType="solid">
        <fgColor rgb="00FFF59D"/>
      </patternFill>
    </fill>
    <fill>
      <patternFill patternType="solid">
        <fgColor rgb="00DDE6E3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2" borderId="1" pivotButton="0" quotePrefix="0" xfId="0"/>
    <xf numFmtId="2" fontId="5" fillId="2" borderId="1" pivotButton="0" quotePrefix="0" xfId="0"/>
    <xf numFmtId="164" fontId="5" fillId="2" borderId="1" pivotButton="0" quotePrefix="0" xfId="0"/>
    <xf numFmtId="165" fontId="5" fillId="2" borderId="1" pivotButton="0" quotePrefix="0" xfId="0"/>
    <xf numFmtId="164" fontId="4" fillId="0" borderId="1" pivotButton="0" quotePrefix="0" xfId="0"/>
    <xf numFmtId="166" fontId="4" fillId="0" borderId="1" pivotButton="0" quotePrefix="0" xfId="0"/>
    <xf numFmtId="165" fontId="4" fillId="0" borderId="1" pivotButton="0" quotePrefix="0" xfId="0"/>
    <xf numFmtId="2" fontId="4" fillId="0" borderId="1" pivotButton="0" quotePrefix="0" xfId="0"/>
    <xf numFmtId="1" fontId="4" fillId="0" borderId="1" pivotButton="0" quotePrefix="0" xfId="0"/>
    <xf numFmtId="9" fontId="4" fillId="0" borderId="1" pivotButton="0" quotePrefix="0" xfId="0"/>
    <xf numFmtId="0" fontId="3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5" fillId="2" borderId="1" pivotButton="0" quotePrefix="0" xfId="0"/>
    <xf numFmtId="0" fontId="4" fillId="0" borderId="1" pivotButton="0" quotePrefix="0" xfId="0"/>
  </cellXfs>
  <cellStyles count="1">
    <cellStyle name="Normal" xfId="0" builtinId="0" hidden="0"/>
  </cellStyles>
  <dxfs count="2">
    <dxf>
      <font>
        <name val="Arial"/>
        <b val="1"/>
        <color rgb="002E7D32"/>
      </font>
    </dxf>
    <dxf>
      <font>
        <name val="Arial"/>
        <b val="1"/>
        <color rgb="00C62828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8" customWidth="1" min="3" max="3"/>
    <col width="70" customWidth="1" min="4" max="4"/>
  </cols>
  <sheetData>
    <row r="1">
      <c r="A1" s="1" t="inlineStr">
        <is>
          <t>Circular Pipe Capacity and Velocity (Manning's Equation)</t>
        </is>
      </c>
    </row>
    <row r="2">
      <c r="A2" s="2" t="inlineStr">
        <is>
          <t>Ted Ngui, E.I.T. · tedn0405.github.io · Free to use under CC BY 4.0</t>
        </is>
      </c>
    </row>
    <row r="3">
      <c r="A3" s="2" t="inlineStr">
        <is>
          <t>Edit the yellow cells (blue text). Everything else is calculated.</t>
        </is>
      </c>
    </row>
    <row r="5">
      <c r="A5" s="3" t="inlineStr">
        <is>
          <t>Inputs</t>
        </is>
      </c>
    </row>
    <row r="6">
      <c r="A6" s="4" t="inlineStr">
        <is>
          <t>Inside diameter, D</t>
        </is>
      </c>
      <c r="B6" s="5" t="n">
        <v>300</v>
      </c>
      <c r="C6" s="4" t="inlineStr">
        <is>
          <t>mm</t>
        </is>
      </c>
      <c r="D6" s="2" t="inlineStr">
        <is>
          <t>Use the actual inside diameter for the pipe material and class.</t>
        </is>
      </c>
    </row>
    <row r="7">
      <c r="A7" s="4" t="inlineStr">
        <is>
          <t>Slope, S</t>
        </is>
      </c>
      <c r="B7" s="6" t="n">
        <v>0.5</v>
      </c>
      <c r="C7" s="4" t="inlineStr">
        <is>
          <t>%</t>
        </is>
      </c>
      <c r="D7" s="2" t="inlineStr">
        <is>
          <t>Pipe grade in percent (0.50 = 0.50%).</t>
        </is>
      </c>
    </row>
    <row r="8">
      <c r="A8" s="4" t="inlineStr">
        <is>
          <t>Manning's roughness, n</t>
        </is>
      </c>
      <c r="B8" s="7" t="n">
        <v>0.013</v>
      </c>
      <c r="C8" s="4" t="inlineStr">
        <is>
          <t>-</t>
        </is>
      </c>
      <c r="D8" s="2" t="inlineStr">
        <is>
          <t>0.013 is common for concrete and PVC storm sewers; use the value your municipality requires.</t>
        </is>
      </c>
    </row>
    <row r="9">
      <c r="A9" s="4" t="inlineStr">
        <is>
          <t>Design flow, Q</t>
        </is>
      </c>
      <c r="B9" s="8" t="n">
        <v>50</v>
      </c>
      <c r="C9" s="4" t="inlineStr">
        <is>
          <t>L/s</t>
        </is>
      </c>
      <c r="D9" s="2" t="inlineStr">
        <is>
          <t>Peak design flow in the pipe. Leave 0 to see full-flow values only.</t>
        </is>
      </c>
    </row>
    <row r="10">
      <c r="A10" s="4" t="inlineStr">
        <is>
          <t>Minimum velocity</t>
        </is>
      </c>
      <c r="B10" s="6" t="n">
        <v>0.75</v>
      </c>
      <c r="C10" s="4" t="inlineStr">
        <is>
          <t>m/s</t>
        </is>
      </c>
      <c r="D10" s="2" t="inlineStr">
        <is>
          <t>Set to the governing municipality's limit.</t>
        </is>
      </c>
    </row>
    <row r="11">
      <c r="A11" s="4" t="inlineStr">
        <is>
          <t>Maximum velocity</t>
        </is>
      </c>
      <c r="B11" s="6" t="n">
        <v>4</v>
      </c>
      <c r="C11" s="4" t="inlineStr">
        <is>
          <t>m/s</t>
        </is>
      </c>
      <c r="D11" s="2" t="inlineStr">
        <is>
          <t>Set to the governing municipality's limit.</t>
        </is>
      </c>
    </row>
    <row r="13">
      <c r="A13" s="3" t="inlineStr">
        <is>
          <t>Full-flow results</t>
        </is>
      </c>
    </row>
    <row r="14">
      <c r="A14" s="4" t="inlineStr">
        <is>
          <t>Diameter, D</t>
        </is>
      </c>
      <c r="B14" s="9">
        <f>B6/1000</f>
        <v/>
      </c>
      <c r="C14" s="4" t="inlineStr">
        <is>
          <t>m</t>
        </is>
      </c>
    </row>
    <row r="15">
      <c r="A15" s="4" t="inlineStr">
        <is>
          <t>Slope, S</t>
        </is>
      </c>
      <c r="B15" s="10">
        <f>B7/100</f>
        <v/>
      </c>
      <c r="C15" s="4" t="inlineStr">
        <is>
          <t>m/m</t>
        </is>
      </c>
    </row>
    <row r="16">
      <c r="A16" s="4" t="inlineStr">
        <is>
          <t>Flow area, A</t>
        </is>
      </c>
      <c r="B16" s="10">
        <f>PI()*B14^2/4</f>
        <v/>
      </c>
      <c r="C16" s="4" t="inlineStr">
        <is>
          <t>m²</t>
        </is>
      </c>
    </row>
    <row r="17">
      <c r="A17" s="4" t="inlineStr">
        <is>
          <t>Hydraulic radius, R = D/4</t>
        </is>
      </c>
      <c r="B17" s="10">
        <f>B14/4</f>
        <v/>
      </c>
      <c r="C17" s="4" t="inlineStr">
        <is>
          <t>m</t>
        </is>
      </c>
    </row>
    <row r="18">
      <c r="A18" s="4" t="inlineStr">
        <is>
          <t>Full-flow capacity, Qfull</t>
        </is>
      </c>
      <c r="B18" s="11">
        <f>1000*(1/B8)*B16*B17^(2/3)*SQRT(B15)</f>
        <v/>
      </c>
      <c r="C18" s="4" t="inlineStr">
        <is>
          <t>L/s</t>
        </is>
      </c>
    </row>
    <row r="19">
      <c r="A19" s="4" t="inlineStr">
        <is>
          <t>Full-flow velocity, Vfull</t>
        </is>
      </c>
      <c r="B19" s="12">
        <f>(B18/1000)/B16</f>
        <v/>
      </c>
      <c r="C19" s="4" t="inlineStr">
        <is>
          <t>m/s</t>
        </is>
      </c>
    </row>
    <row r="21">
      <c r="A21" s="3" t="inlineStr">
        <is>
          <t>Design-flow results (partly full pipe)</t>
        </is>
      </c>
    </row>
    <row r="22">
      <c r="A22" s="4" t="inlineStr">
        <is>
          <t>Q / Qfull</t>
        </is>
      </c>
      <c r="B22" s="12">
        <f>IF(B9&gt;0,B9/B18,0)</f>
        <v/>
      </c>
      <c r="C22" s="4" t="inlineStr">
        <is>
          <t>-</t>
        </is>
      </c>
    </row>
    <row r="23">
      <c r="A23" s="4" t="inlineStr">
        <is>
          <t>Depth ratio, d/D</t>
        </is>
      </c>
      <c r="B23" s="12">
        <f>IF(B9&lt;=0,"-",IF(B22&gt;1,"Surcharged",INDEX('Partial Flow'!$A$5:$A$97,IFERROR(MATCH(B22,'Partial Flow'!$C$5:$C$97,1),0)+IF(ISNA(MATCH(B22,'Partial Flow'!$C$5:$C$97,0)),1,0))))</f>
        <v/>
      </c>
      <c r="C23" s="4" t="inlineStr">
        <is>
          <t>-</t>
        </is>
      </c>
      <c r="D23" s="2" t="inlineStr">
        <is>
          <t>Read from the Partial Flow tab: the smallest depth ratio (1% steps, up to 0.93) whose capacity meets Q/Qfull. Rounds depth up, so it is conservative.</t>
        </is>
      </c>
    </row>
    <row r="24">
      <c r="A24" s="4" t="inlineStr">
        <is>
          <t>Flow depth, d</t>
        </is>
      </c>
      <c r="B24" s="13">
        <f>IF(ISNUMBER(B23),B23*B6,"-")</f>
        <v/>
      </c>
      <c r="C24" s="4" t="inlineStr">
        <is>
          <t>mm</t>
        </is>
      </c>
    </row>
    <row r="25">
      <c r="A25" s="4" t="inlineStr">
        <is>
          <t>Velocity at design flow, V</t>
        </is>
      </c>
      <c r="B25" s="12">
        <f>IF(B9&lt;=0,"-",IF(B22&gt;1,B9/1000/B16,INDEX('Partial Flow'!D5:D104,MATCH(B23,'Partial Flow'!A5:A104,0))*B19))</f>
        <v/>
      </c>
      <c r="C25" s="4" t="inlineStr">
        <is>
          <t>m/s</t>
        </is>
      </c>
      <c r="D25" s="2" t="inlineStr">
        <is>
          <t>If surcharged, this is Q divided by the full pipe area.</t>
        </is>
      </c>
    </row>
    <row r="26">
      <c r="A26" s="4" t="inlineStr">
        <is>
          <t>Spare capacity</t>
        </is>
      </c>
      <c r="B26" s="14">
        <f>IF(B9&gt;0,1-B22,"-")</f>
        <v/>
      </c>
      <c r="C26" s="4" t="inlineStr">
        <is>
          <t>-</t>
        </is>
      </c>
    </row>
    <row r="28">
      <c r="A28" s="3" t="inlineStr">
        <is>
          <t>Check</t>
        </is>
      </c>
    </row>
    <row r="29">
      <c r="A29" s="4" t="inlineStr">
        <is>
          <t>Capacity</t>
        </is>
      </c>
      <c r="B29" s="15">
        <f>IF(B9&lt;=0,"-",IF(B22&lt;=1,"OK","Over capacity"))</f>
        <v/>
      </c>
    </row>
    <row r="30">
      <c r="A30" s="4" t="inlineStr">
        <is>
          <t>Velocity</t>
        </is>
      </c>
      <c r="B30" s="15">
        <f>IF(B9&lt;=0,IF(B19&lt;B10,"Below minimum (full flow)",IF(B19&gt;B11,"Above maximum (full flow)","OK (full flow)")),IF(B25&lt;B10,"Below minimum",IF(B25&gt;B11,"Above maximum","OK")))</f>
        <v/>
      </c>
    </row>
    <row r="33">
      <c r="A33" s="3" t="inlineStr">
        <is>
          <t>Method and limits</t>
        </is>
      </c>
    </row>
    <row r="34">
      <c r="A34" s="2" t="inlineStr">
        <is>
          <t>• Manning's equation, SI units: Q = (1/n) · A · R^(2/3) · S^(1/2).</t>
        </is>
      </c>
    </row>
    <row r="35">
      <c r="A35" s="2" t="inlineStr">
        <is>
          <t>• Partial-flow values assume a constant n at all depths (the usual simplification).</t>
        </is>
      </c>
    </row>
    <row r="36">
      <c r="A36" s="2" t="inlineStr">
        <is>
          <t>• Maximum capacity of a circular pipe occurs near d/D = 0.94 (about 1.08 × Qfull); this sheet treats Q above Qfull as surcharged.</t>
        </is>
      </c>
    </row>
    <row r="37">
      <c r="A37" s="2" t="inlineStr">
        <is>
          <t>• For checking and preliminary design. Confirm diameters, n values and velocity limits against the governing municipal standard.</t>
        </is>
      </c>
    </row>
    <row r="38">
      <c r="A38" s="2" t="inlineStr">
        <is>
          <t>• Provided as is, without warranty. Not a substitute for engineering judgement or a sealed design.</t>
        </is>
      </c>
    </row>
  </sheetData>
  <conditionalFormatting sqref="B29:B30">
    <cfRule type="expression" priority="1" dxfId="0">
      <formula>LEFT(B29,2)="OK"</formula>
    </cfRule>
    <cfRule type="expression" priority="2" dxfId="1">
      <formula>AND(B29&lt;&gt;"-",LEFT(B29,2)&lt;&gt;"OK")</formula>
    </cfRule>
  </conditionalFormatting>
  <dataValidations count="2">
    <dataValidation sqref="B6 B7 B8 B10 B11" showDropDown="0" showInputMessage="0" showErrorMessage="1" allowBlank="0" errorTitle="Check input" error="Enter a number greater than 0." type="decimal" operator="greaterThan">
      <formula1>0</formula1>
    </dataValidation>
    <dataValidation sqref="B9" showDropDown="0" showInputMessage="0" showErrorMessage="1" allowBlank="0" error="Enter 0 or a positive flow." type="decimal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Partial-flow ratios for a circular pipe (constant n)</t>
        </is>
      </c>
    </row>
    <row r="2">
      <c r="A2" s="2" t="inlineStr">
        <is>
          <t>θ is the central angle subtended by the water surface. Ratios are relative to the pipe flowing full.</t>
        </is>
      </c>
    </row>
    <row r="4">
      <c r="A4" s="16" t="inlineStr">
        <is>
          <t>d/D</t>
        </is>
      </c>
      <c r="B4" s="16" t="inlineStr">
        <is>
          <t>θ (rad)</t>
        </is>
      </c>
      <c r="C4" s="16" t="inlineStr">
        <is>
          <t>Q/Qfull</t>
        </is>
      </c>
      <c r="D4" s="16" t="inlineStr">
        <is>
          <t>V/Vfull</t>
        </is>
      </c>
      <c r="E4" s="16" t="inlineStr">
        <is>
          <t>A/Afull</t>
        </is>
      </c>
      <c r="F4" s="16" t="inlineStr">
        <is>
          <t>R/Rfull</t>
        </is>
      </c>
    </row>
    <row r="5">
      <c r="A5" s="12" t="n">
        <v>0.01</v>
      </c>
      <c r="B5" s="10">
        <f>2*ACOS(1-2*A5)</f>
        <v/>
      </c>
      <c r="C5" s="10">
        <f>E5*D5</f>
        <v/>
      </c>
      <c r="D5" s="10">
        <f>F5^(2/3)</f>
        <v/>
      </c>
      <c r="E5" s="10">
        <f>(B5-SIN(B5))/(2*PI())</f>
        <v/>
      </c>
      <c r="F5" s="10">
        <f>(1-SIN(B5)/B5)</f>
        <v/>
      </c>
    </row>
    <row r="6">
      <c r="A6" s="12" t="n">
        <v>0.02</v>
      </c>
      <c r="B6" s="10">
        <f>2*ACOS(1-2*A6)</f>
        <v/>
      </c>
      <c r="C6" s="10">
        <f>E6*D6</f>
        <v/>
      </c>
      <c r="D6" s="10">
        <f>F6^(2/3)</f>
        <v/>
      </c>
      <c r="E6" s="10">
        <f>(B6-SIN(B6))/(2*PI())</f>
        <v/>
      </c>
      <c r="F6" s="10">
        <f>(1-SIN(B6)/B6)</f>
        <v/>
      </c>
    </row>
    <row r="7">
      <c r="A7" s="12" t="n">
        <v>0.03</v>
      </c>
      <c r="B7" s="10">
        <f>2*ACOS(1-2*A7)</f>
        <v/>
      </c>
      <c r="C7" s="10">
        <f>E7*D7</f>
        <v/>
      </c>
      <c r="D7" s="10">
        <f>F7^(2/3)</f>
        <v/>
      </c>
      <c r="E7" s="10">
        <f>(B7-SIN(B7))/(2*PI())</f>
        <v/>
      </c>
      <c r="F7" s="10">
        <f>(1-SIN(B7)/B7)</f>
        <v/>
      </c>
    </row>
    <row r="8">
      <c r="A8" s="12" t="n">
        <v>0.04</v>
      </c>
      <c r="B8" s="10">
        <f>2*ACOS(1-2*A8)</f>
        <v/>
      </c>
      <c r="C8" s="10">
        <f>E8*D8</f>
        <v/>
      </c>
      <c r="D8" s="10">
        <f>F8^(2/3)</f>
        <v/>
      </c>
      <c r="E8" s="10">
        <f>(B8-SIN(B8))/(2*PI())</f>
        <v/>
      </c>
      <c r="F8" s="10">
        <f>(1-SIN(B8)/B8)</f>
        <v/>
      </c>
    </row>
    <row r="9">
      <c r="A9" s="12" t="n">
        <v>0.05</v>
      </c>
      <c r="B9" s="10">
        <f>2*ACOS(1-2*A9)</f>
        <v/>
      </c>
      <c r="C9" s="10">
        <f>E9*D9</f>
        <v/>
      </c>
      <c r="D9" s="10">
        <f>F9^(2/3)</f>
        <v/>
      </c>
      <c r="E9" s="10">
        <f>(B9-SIN(B9))/(2*PI())</f>
        <v/>
      </c>
      <c r="F9" s="10">
        <f>(1-SIN(B9)/B9)</f>
        <v/>
      </c>
    </row>
    <row r="10">
      <c r="A10" s="12" t="n">
        <v>0.06</v>
      </c>
      <c r="B10" s="10">
        <f>2*ACOS(1-2*A10)</f>
        <v/>
      </c>
      <c r="C10" s="10">
        <f>E10*D10</f>
        <v/>
      </c>
      <c r="D10" s="10">
        <f>F10^(2/3)</f>
        <v/>
      </c>
      <c r="E10" s="10">
        <f>(B10-SIN(B10))/(2*PI())</f>
        <v/>
      </c>
      <c r="F10" s="10">
        <f>(1-SIN(B10)/B10)</f>
        <v/>
      </c>
    </row>
    <row r="11">
      <c r="A11" s="12" t="n">
        <v>0.07000000000000001</v>
      </c>
      <c r="B11" s="10">
        <f>2*ACOS(1-2*A11)</f>
        <v/>
      </c>
      <c r="C11" s="10">
        <f>E11*D11</f>
        <v/>
      </c>
      <c r="D11" s="10">
        <f>F11^(2/3)</f>
        <v/>
      </c>
      <c r="E11" s="10">
        <f>(B11-SIN(B11))/(2*PI())</f>
        <v/>
      </c>
      <c r="F11" s="10">
        <f>(1-SIN(B11)/B11)</f>
        <v/>
      </c>
    </row>
    <row r="12">
      <c r="A12" s="12" t="n">
        <v>0.08</v>
      </c>
      <c r="B12" s="10">
        <f>2*ACOS(1-2*A12)</f>
        <v/>
      </c>
      <c r="C12" s="10">
        <f>E12*D12</f>
        <v/>
      </c>
      <c r="D12" s="10">
        <f>F12^(2/3)</f>
        <v/>
      </c>
      <c r="E12" s="10">
        <f>(B12-SIN(B12))/(2*PI())</f>
        <v/>
      </c>
      <c r="F12" s="10">
        <f>(1-SIN(B12)/B12)</f>
        <v/>
      </c>
    </row>
    <row r="13">
      <c r="A13" s="12" t="n">
        <v>0.09</v>
      </c>
      <c r="B13" s="10">
        <f>2*ACOS(1-2*A13)</f>
        <v/>
      </c>
      <c r="C13" s="10">
        <f>E13*D13</f>
        <v/>
      </c>
      <c r="D13" s="10">
        <f>F13^(2/3)</f>
        <v/>
      </c>
      <c r="E13" s="10">
        <f>(B13-SIN(B13))/(2*PI())</f>
        <v/>
      </c>
      <c r="F13" s="10">
        <f>(1-SIN(B13)/B13)</f>
        <v/>
      </c>
    </row>
    <row r="14">
      <c r="A14" s="12" t="n">
        <v>0.1</v>
      </c>
      <c r="B14" s="10">
        <f>2*ACOS(1-2*A14)</f>
        <v/>
      </c>
      <c r="C14" s="10">
        <f>E14*D14</f>
        <v/>
      </c>
      <c r="D14" s="10">
        <f>F14^(2/3)</f>
        <v/>
      </c>
      <c r="E14" s="10">
        <f>(B14-SIN(B14))/(2*PI())</f>
        <v/>
      </c>
      <c r="F14" s="10">
        <f>(1-SIN(B14)/B14)</f>
        <v/>
      </c>
    </row>
    <row r="15">
      <c r="A15" s="12" t="n">
        <v>0.11</v>
      </c>
      <c r="B15" s="10">
        <f>2*ACOS(1-2*A15)</f>
        <v/>
      </c>
      <c r="C15" s="10">
        <f>E15*D15</f>
        <v/>
      </c>
      <c r="D15" s="10">
        <f>F15^(2/3)</f>
        <v/>
      </c>
      <c r="E15" s="10">
        <f>(B15-SIN(B15))/(2*PI())</f>
        <v/>
      </c>
      <c r="F15" s="10">
        <f>(1-SIN(B15)/B15)</f>
        <v/>
      </c>
    </row>
    <row r="16">
      <c r="A16" s="12" t="n">
        <v>0.12</v>
      </c>
      <c r="B16" s="10">
        <f>2*ACOS(1-2*A16)</f>
        <v/>
      </c>
      <c r="C16" s="10">
        <f>E16*D16</f>
        <v/>
      </c>
      <c r="D16" s="10">
        <f>F16^(2/3)</f>
        <v/>
      </c>
      <c r="E16" s="10">
        <f>(B16-SIN(B16))/(2*PI())</f>
        <v/>
      </c>
      <c r="F16" s="10">
        <f>(1-SIN(B16)/B16)</f>
        <v/>
      </c>
    </row>
    <row r="17">
      <c r="A17" s="12" t="n">
        <v>0.13</v>
      </c>
      <c r="B17" s="10">
        <f>2*ACOS(1-2*A17)</f>
        <v/>
      </c>
      <c r="C17" s="10">
        <f>E17*D17</f>
        <v/>
      </c>
      <c r="D17" s="10">
        <f>F17^(2/3)</f>
        <v/>
      </c>
      <c r="E17" s="10">
        <f>(B17-SIN(B17))/(2*PI())</f>
        <v/>
      </c>
      <c r="F17" s="10">
        <f>(1-SIN(B17)/B17)</f>
        <v/>
      </c>
    </row>
    <row r="18">
      <c r="A18" s="12" t="n">
        <v>0.14</v>
      </c>
      <c r="B18" s="10">
        <f>2*ACOS(1-2*A18)</f>
        <v/>
      </c>
      <c r="C18" s="10">
        <f>E18*D18</f>
        <v/>
      </c>
      <c r="D18" s="10">
        <f>F18^(2/3)</f>
        <v/>
      </c>
      <c r="E18" s="10">
        <f>(B18-SIN(B18))/(2*PI())</f>
        <v/>
      </c>
      <c r="F18" s="10">
        <f>(1-SIN(B18)/B18)</f>
        <v/>
      </c>
    </row>
    <row r="19">
      <c r="A19" s="12" t="n">
        <v>0.15</v>
      </c>
      <c r="B19" s="10">
        <f>2*ACOS(1-2*A19)</f>
        <v/>
      </c>
      <c r="C19" s="10">
        <f>E19*D19</f>
        <v/>
      </c>
      <c r="D19" s="10">
        <f>F19^(2/3)</f>
        <v/>
      </c>
      <c r="E19" s="10">
        <f>(B19-SIN(B19))/(2*PI())</f>
        <v/>
      </c>
      <c r="F19" s="10">
        <f>(1-SIN(B19)/B19)</f>
        <v/>
      </c>
    </row>
    <row r="20">
      <c r="A20" s="12" t="n">
        <v>0.16</v>
      </c>
      <c r="B20" s="10">
        <f>2*ACOS(1-2*A20)</f>
        <v/>
      </c>
      <c r="C20" s="10">
        <f>E20*D20</f>
        <v/>
      </c>
      <c r="D20" s="10">
        <f>F20^(2/3)</f>
        <v/>
      </c>
      <c r="E20" s="10">
        <f>(B20-SIN(B20))/(2*PI())</f>
        <v/>
      </c>
      <c r="F20" s="10">
        <f>(1-SIN(B20)/B20)</f>
        <v/>
      </c>
    </row>
    <row r="21">
      <c r="A21" s="12" t="n">
        <v>0.17</v>
      </c>
      <c r="B21" s="10">
        <f>2*ACOS(1-2*A21)</f>
        <v/>
      </c>
      <c r="C21" s="10">
        <f>E21*D21</f>
        <v/>
      </c>
      <c r="D21" s="10">
        <f>F21^(2/3)</f>
        <v/>
      </c>
      <c r="E21" s="10">
        <f>(B21-SIN(B21))/(2*PI())</f>
        <v/>
      </c>
      <c r="F21" s="10">
        <f>(1-SIN(B21)/B21)</f>
        <v/>
      </c>
    </row>
    <row r="22">
      <c r="A22" s="12" t="n">
        <v>0.18</v>
      </c>
      <c r="B22" s="10">
        <f>2*ACOS(1-2*A22)</f>
        <v/>
      </c>
      <c r="C22" s="10">
        <f>E22*D22</f>
        <v/>
      </c>
      <c r="D22" s="10">
        <f>F22^(2/3)</f>
        <v/>
      </c>
      <c r="E22" s="10">
        <f>(B22-SIN(B22))/(2*PI())</f>
        <v/>
      </c>
      <c r="F22" s="10">
        <f>(1-SIN(B22)/B22)</f>
        <v/>
      </c>
    </row>
    <row r="23">
      <c r="A23" s="12" t="n">
        <v>0.19</v>
      </c>
      <c r="B23" s="10">
        <f>2*ACOS(1-2*A23)</f>
        <v/>
      </c>
      <c r="C23" s="10">
        <f>E23*D23</f>
        <v/>
      </c>
      <c r="D23" s="10">
        <f>F23^(2/3)</f>
        <v/>
      </c>
      <c r="E23" s="10">
        <f>(B23-SIN(B23))/(2*PI())</f>
        <v/>
      </c>
      <c r="F23" s="10">
        <f>(1-SIN(B23)/B23)</f>
        <v/>
      </c>
    </row>
    <row r="24">
      <c r="A24" s="12" t="n">
        <v>0.2</v>
      </c>
      <c r="B24" s="10">
        <f>2*ACOS(1-2*A24)</f>
        <v/>
      </c>
      <c r="C24" s="10">
        <f>E24*D24</f>
        <v/>
      </c>
      <c r="D24" s="10">
        <f>F24^(2/3)</f>
        <v/>
      </c>
      <c r="E24" s="10">
        <f>(B24-SIN(B24))/(2*PI())</f>
        <v/>
      </c>
      <c r="F24" s="10">
        <f>(1-SIN(B24)/B24)</f>
        <v/>
      </c>
    </row>
    <row r="25">
      <c r="A25" s="12" t="n">
        <v>0.21</v>
      </c>
      <c r="B25" s="10">
        <f>2*ACOS(1-2*A25)</f>
        <v/>
      </c>
      <c r="C25" s="10">
        <f>E25*D25</f>
        <v/>
      </c>
      <c r="D25" s="10">
        <f>F25^(2/3)</f>
        <v/>
      </c>
      <c r="E25" s="10">
        <f>(B25-SIN(B25))/(2*PI())</f>
        <v/>
      </c>
      <c r="F25" s="10">
        <f>(1-SIN(B25)/B25)</f>
        <v/>
      </c>
    </row>
    <row r="26">
      <c r="A26" s="12" t="n">
        <v>0.22</v>
      </c>
      <c r="B26" s="10">
        <f>2*ACOS(1-2*A26)</f>
        <v/>
      </c>
      <c r="C26" s="10">
        <f>E26*D26</f>
        <v/>
      </c>
      <c r="D26" s="10">
        <f>F26^(2/3)</f>
        <v/>
      </c>
      <c r="E26" s="10">
        <f>(B26-SIN(B26))/(2*PI())</f>
        <v/>
      </c>
      <c r="F26" s="10">
        <f>(1-SIN(B26)/B26)</f>
        <v/>
      </c>
    </row>
    <row r="27">
      <c r="A27" s="12" t="n">
        <v>0.23</v>
      </c>
      <c r="B27" s="10">
        <f>2*ACOS(1-2*A27)</f>
        <v/>
      </c>
      <c r="C27" s="10">
        <f>E27*D27</f>
        <v/>
      </c>
      <c r="D27" s="10">
        <f>F27^(2/3)</f>
        <v/>
      </c>
      <c r="E27" s="10">
        <f>(B27-SIN(B27))/(2*PI())</f>
        <v/>
      </c>
      <c r="F27" s="10">
        <f>(1-SIN(B27)/B27)</f>
        <v/>
      </c>
    </row>
    <row r="28">
      <c r="A28" s="12" t="n">
        <v>0.24</v>
      </c>
      <c r="B28" s="10">
        <f>2*ACOS(1-2*A28)</f>
        <v/>
      </c>
      <c r="C28" s="10">
        <f>E28*D28</f>
        <v/>
      </c>
      <c r="D28" s="10">
        <f>F28^(2/3)</f>
        <v/>
      </c>
      <c r="E28" s="10">
        <f>(B28-SIN(B28))/(2*PI())</f>
        <v/>
      </c>
      <c r="F28" s="10">
        <f>(1-SIN(B28)/B28)</f>
        <v/>
      </c>
    </row>
    <row r="29">
      <c r="A29" s="12" t="n">
        <v>0.25</v>
      </c>
      <c r="B29" s="10">
        <f>2*ACOS(1-2*A29)</f>
        <v/>
      </c>
      <c r="C29" s="10">
        <f>E29*D29</f>
        <v/>
      </c>
      <c r="D29" s="10">
        <f>F29^(2/3)</f>
        <v/>
      </c>
      <c r="E29" s="10">
        <f>(B29-SIN(B29))/(2*PI())</f>
        <v/>
      </c>
      <c r="F29" s="10">
        <f>(1-SIN(B29)/B29)</f>
        <v/>
      </c>
    </row>
    <row r="30">
      <c r="A30" s="12" t="n">
        <v>0.26</v>
      </c>
      <c r="B30" s="10">
        <f>2*ACOS(1-2*A30)</f>
        <v/>
      </c>
      <c r="C30" s="10">
        <f>E30*D30</f>
        <v/>
      </c>
      <c r="D30" s="10">
        <f>F30^(2/3)</f>
        <v/>
      </c>
      <c r="E30" s="10">
        <f>(B30-SIN(B30))/(2*PI())</f>
        <v/>
      </c>
      <c r="F30" s="10">
        <f>(1-SIN(B30)/B30)</f>
        <v/>
      </c>
    </row>
    <row r="31">
      <c r="A31" s="12" t="n">
        <v>0.27</v>
      </c>
      <c r="B31" s="10">
        <f>2*ACOS(1-2*A31)</f>
        <v/>
      </c>
      <c r="C31" s="10">
        <f>E31*D31</f>
        <v/>
      </c>
      <c r="D31" s="10">
        <f>F31^(2/3)</f>
        <v/>
      </c>
      <c r="E31" s="10">
        <f>(B31-SIN(B31))/(2*PI())</f>
        <v/>
      </c>
      <c r="F31" s="10">
        <f>(1-SIN(B31)/B31)</f>
        <v/>
      </c>
    </row>
    <row r="32">
      <c r="A32" s="12" t="n">
        <v>0.28</v>
      </c>
      <c r="B32" s="10">
        <f>2*ACOS(1-2*A32)</f>
        <v/>
      </c>
      <c r="C32" s="10">
        <f>E32*D32</f>
        <v/>
      </c>
      <c r="D32" s="10">
        <f>F32^(2/3)</f>
        <v/>
      </c>
      <c r="E32" s="10">
        <f>(B32-SIN(B32))/(2*PI())</f>
        <v/>
      </c>
      <c r="F32" s="10">
        <f>(1-SIN(B32)/B32)</f>
        <v/>
      </c>
    </row>
    <row r="33">
      <c r="A33" s="12" t="n">
        <v>0.29</v>
      </c>
      <c r="B33" s="10">
        <f>2*ACOS(1-2*A33)</f>
        <v/>
      </c>
      <c r="C33" s="10">
        <f>E33*D33</f>
        <v/>
      </c>
      <c r="D33" s="10">
        <f>F33^(2/3)</f>
        <v/>
      </c>
      <c r="E33" s="10">
        <f>(B33-SIN(B33))/(2*PI())</f>
        <v/>
      </c>
      <c r="F33" s="10">
        <f>(1-SIN(B33)/B33)</f>
        <v/>
      </c>
    </row>
    <row r="34">
      <c r="A34" s="12" t="n">
        <v>0.3</v>
      </c>
      <c r="B34" s="10">
        <f>2*ACOS(1-2*A34)</f>
        <v/>
      </c>
      <c r="C34" s="10">
        <f>E34*D34</f>
        <v/>
      </c>
      <c r="D34" s="10">
        <f>F34^(2/3)</f>
        <v/>
      </c>
      <c r="E34" s="10">
        <f>(B34-SIN(B34))/(2*PI())</f>
        <v/>
      </c>
      <c r="F34" s="10">
        <f>(1-SIN(B34)/B34)</f>
        <v/>
      </c>
    </row>
    <row r="35">
      <c r="A35" s="12" t="n">
        <v>0.31</v>
      </c>
      <c r="B35" s="10">
        <f>2*ACOS(1-2*A35)</f>
        <v/>
      </c>
      <c r="C35" s="10">
        <f>E35*D35</f>
        <v/>
      </c>
      <c r="D35" s="10">
        <f>F35^(2/3)</f>
        <v/>
      </c>
      <c r="E35" s="10">
        <f>(B35-SIN(B35))/(2*PI())</f>
        <v/>
      </c>
      <c r="F35" s="10">
        <f>(1-SIN(B35)/B35)</f>
        <v/>
      </c>
    </row>
    <row r="36">
      <c r="A36" s="12" t="n">
        <v>0.32</v>
      </c>
      <c r="B36" s="10">
        <f>2*ACOS(1-2*A36)</f>
        <v/>
      </c>
      <c r="C36" s="10">
        <f>E36*D36</f>
        <v/>
      </c>
      <c r="D36" s="10">
        <f>F36^(2/3)</f>
        <v/>
      </c>
      <c r="E36" s="10">
        <f>(B36-SIN(B36))/(2*PI())</f>
        <v/>
      </c>
      <c r="F36" s="10">
        <f>(1-SIN(B36)/B36)</f>
        <v/>
      </c>
    </row>
    <row r="37">
      <c r="A37" s="12" t="n">
        <v>0.33</v>
      </c>
      <c r="B37" s="10">
        <f>2*ACOS(1-2*A37)</f>
        <v/>
      </c>
      <c r="C37" s="10">
        <f>E37*D37</f>
        <v/>
      </c>
      <c r="D37" s="10">
        <f>F37^(2/3)</f>
        <v/>
      </c>
      <c r="E37" s="10">
        <f>(B37-SIN(B37))/(2*PI())</f>
        <v/>
      </c>
      <c r="F37" s="10">
        <f>(1-SIN(B37)/B37)</f>
        <v/>
      </c>
    </row>
    <row r="38">
      <c r="A38" s="12" t="n">
        <v>0.34</v>
      </c>
      <c r="B38" s="10">
        <f>2*ACOS(1-2*A38)</f>
        <v/>
      </c>
      <c r="C38" s="10">
        <f>E38*D38</f>
        <v/>
      </c>
      <c r="D38" s="10">
        <f>F38^(2/3)</f>
        <v/>
      </c>
      <c r="E38" s="10">
        <f>(B38-SIN(B38))/(2*PI())</f>
        <v/>
      </c>
      <c r="F38" s="10">
        <f>(1-SIN(B38)/B38)</f>
        <v/>
      </c>
    </row>
    <row r="39">
      <c r="A39" s="12" t="n">
        <v>0.35</v>
      </c>
      <c r="B39" s="10">
        <f>2*ACOS(1-2*A39)</f>
        <v/>
      </c>
      <c r="C39" s="10">
        <f>E39*D39</f>
        <v/>
      </c>
      <c r="D39" s="10">
        <f>F39^(2/3)</f>
        <v/>
      </c>
      <c r="E39" s="10">
        <f>(B39-SIN(B39))/(2*PI())</f>
        <v/>
      </c>
      <c r="F39" s="10">
        <f>(1-SIN(B39)/B39)</f>
        <v/>
      </c>
    </row>
    <row r="40">
      <c r="A40" s="12" t="n">
        <v>0.36</v>
      </c>
      <c r="B40" s="10">
        <f>2*ACOS(1-2*A40)</f>
        <v/>
      </c>
      <c r="C40" s="10">
        <f>E40*D40</f>
        <v/>
      </c>
      <c r="D40" s="10">
        <f>F40^(2/3)</f>
        <v/>
      </c>
      <c r="E40" s="10">
        <f>(B40-SIN(B40))/(2*PI())</f>
        <v/>
      </c>
      <c r="F40" s="10">
        <f>(1-SIN(B40)/B40)</f>
        <v/>
      </c>
    </row>
    <row r="41">
      <c r="A41" s="12" t="n">
        <v>0.37</v>
      </c>
      <c r="B41" s="10">
        <f>2*ACOS(1-2*A41)</f>
        <v/>
      </c>
      <c r="C41" s="10">
        <f>E41*D41</f>
        <v/>
      </c>
      <c r="D41" s="10">
        <f>F41^(2/3)</f>
        <v/>
      </c>
      <c r="E41" s="10">
        <f>(B41-SIN(B41))/(2*PI())</f>
        <v/>
      </c>
      <c r="F41" s="10">
        <f>(1-SIN(B41)/B41)</f>
        <v/>
      </c>
    </row>
    <row r="42">
      <c r="A42" s="12" t="n">
        <v>0.38</v>
      </c>
      <c r="B42" s="10">
        <f>2*ACOS(1-2*A42)</f>
        <v/>
      </c>
      <c r="C42" s="10">
        <f>E42*D42</f>
        <v/>
      </c>
      <c r="D42" s="10">
        <f>F42^(2/3)</f>
        <v/>
      </c>
      <c r="E42" s="10">
        <f>(B42-SIN(B42))/(2*PI())</f>
        <v/>
      </c>
      <c r="F42" s="10">
        <f>(1-SIN(B42)/B42)</f>
        <v/>
      </c>
    </row>
    <row r="43">
      <c r="A43" s="12" t="n">
        <v>0.39</v>
      </c>
      <c r="B43" s="10">
        <f>2*ACOS(1-2*A43)</f>
        <v/>
      </c>
      <c r="C43" s="10">
        <f>E43*D43</f>
        <v/>
      </c>
      <c r="D43" s="10">
        <f>F43^(2/3)</f>
        <v/>
      </c>
      <c r="E43" s="10">
        <f>(B43-SIN(B43))/(2*PI())</f>
        <v/>
      </c>
      <c r="F43" s="10">
        <f>(1-SIN(B43)/B43)</f>
        <v/>
      </c>
    </row>
    <row r="44">
      <c r="A44" s="12" t="n">
        <v>0.4</v>
      </c>
      <c r="B44" s="10">
        <f>2*ACOS(1-2*A44)</f>
        <v/>
      </c>
      <c r="C44" s="10">
        <f>E44*D44</f>
        <v/>
      </c>
      <c r="D44" s="10">
        <f>F44^(2/3)</f>
        <v/>
      </c>
      <c r="E44" s="10">
        <f>(B44-SIN(B44))/(2*PI())</f>
        <v/>
      </c>
      <c r="F44" s="10">
        <f>(1-SIN(B44)/B44)</f>
        <v/>
      </c>
    </row>
    <row r="45">
      <c r="A45" s="12" t="n">
        <v>0.41</v>
      </c>
      <c r="B45" s="10">
        <f>2*ACOS(1-2*A45)</f>
        <v/>
      </c>
      <c r="C45" s="10">
        <f>E45*D45</f>
        <v/>
      </c>
      <c r="D45" s="10">
        <f>F45^(2/3)</f>
        <v/>
      </c>
      <c r="E45" s="10">
        <f>(B45-SIN(B45))/(2*PI())</f>
        <v/>
      </c>
      <c r="F45" s="10">
        <f>(1-SIN(B45)/B45)</f>
        <v/>
      </c>
    </row>
    <row r="46">
      <c r="A46" s="12" t="n">
        <v>0.42</v>
      </c>
      <c r="B46" s="10">
        <f>2*ACOS(1-2*A46)</f>
        <v/>
      </c>
      <c r="C46" s="10">
        <f>E46*D46</f>
        <v/>
      </c>
      <c r="D46" s="10">
        <f>F46^(2/3)</f>
        <v/>
      </c>
      <c r="E46" s="10">
        <f>(B46-SIN(B46))/(2*PI())</f>
        <v/>
      </c>
      <c r="F46" s="10">
        <f>(1-SIN(B46)/B46)</f>
        <v/>
      </c>
    </row>
    <row r="47">
      <c r="A47" s="12" t="n">
        <v>0.43</v>
      </c>
      <c r="B47" s="10">
        <f>2*ACOS(1-2*A47)</f>
        <v/>
      </c>
      <c r="C47" s="10">
        <f>E47*D47</f>
        <v/>
      </c>
      <c r="D47" s="10">
        <f>F47^(2/3)</f>
        <v/>
      </c>
      <c r="E47" s="10">
        <f>(B47-SIN(B47))/(2*PI())</f>
        <v/>
      </c>
      <c r="F47" s="10">
        <f>(1-SIN(B47)/B47)</f>
        <v/>
      </c>
    </row>
    <row r="48">
      <c r="A48" s="12" t="n">
        <v>0.44</v>
      </c>
      <c r="B48" s="10">
        <f>2*ACOS(1-2*A48)</f>
        <v/>
      </c>
      <c r="C48" s="10">
        <f>E48*D48</f>
        <v/>
      </c>
      <c r="D48" s="10">
        <f>F48^(2/3)</f>
        <v/>
      </c>
      <c r="E48" s="10">
        <f>(B48-SIN(B48))/(2*PI())</f>
        <v/>
      </c>
      <c r="F48" s="10">
        <f>(1-SIN(B48)/B48)</f>
        <v/>
      </c>
    </row>
    <row r="49">
      <c r="A49" s="12" t="n">
        <v>0.45</v>
      </c>
      <c r="B49" s="10">
        <f>2*ACOS(1-2*A49)</f>
        <v/>
      </c>
      <c r="C49" s="10">
        <f>E49*D49</f>
        <v/>
      </c>
      <c r="D49" s="10">
        <f>F49^(2/3)</f>
        <v/>
      </c>
      <c r="E49" s="10">
        <f>(B49-SIN(B49))/(2*PI())</f>
        <v/>
      </c>
      <c r="F49" s="10">
        <f>(1-SIN(B49)/B49)</f>
        <v/>
      </c>
    </row>
    <row r="50">
      <c r="A50" s="12" t="n">
        <v>0.46</v>
      </c>
      <c r="B50" s="10">
        <f>2*ACOS(1-2*A50)</f>
        <v/>
      </c>
      <c r="C50" s="10">
        <f>E50*D50</f>
        <v/>
      </c>
      <c r="D50" s="10">
        <f>F50^(2/3)</f>
        <v/>
      </c>
      <c r="E50" s="10">
        <f>(B50-SIN(B50))/(2*PI())</f>
        <v/>
      </c>
      <c r="F50" s="10">
        <f>(1-SIN(B50)/B50)</f>
        <v/>
      </c>
    </row>
    <row r="51">
      <c r="A51" s="12" t="n">
        <v>0.47</v>
      </c>
      <c r="B51" s="10">
        <f>2*ACOS(1-2*A51)</f>
        <v/>
      </c>
      <c r="C51" s="10">
        <f>E51*D51</f>
        <v/>
      </c>
      <c r="D51" s="10">
        <f>F51^(2/3)</f>
        <v/>
      </c>
      <c r="E51" s="10">
        <f>(B51-SIN(B51))/(2*PI())</f>
        <v/>
      </c>
      <c r="F51" s="10">
        <f>(1-SIN(B51)/B51)</f>
        <v/>
      </c>
    </row>
    <row r="52">
      <c r="A52" s="12" t="n">
        <v>0.48</v>
      </c>
      <c r="B52" s="10">
        <f>2*ACOS(1-2*A52)</f>
        <v/>
      </c>
      <c r="C52" s="10">
        <f>E52*D52</f>
        <v/>
      </c>
      <c r="D52" s="10">
        <f>F52^(2/3)</f>
        <v/>
      </c>
      <c r="E52" s="10">
        <f>(B52-SIN(B52))/(2*PI())</f>
        <v/>
      </c>
      <c r="F52" s="10">
        <f>(1-SIN(B52)/B52)</f>
        <v/>
      </c>
    </row>
    <row r="53">
      <c r="A53" s="12" t="n">
        <v>0.49</v>
      </c>
      <c r="B53" s="10">
        <f>2*ACOS(1-2*A53)</f>
        <v/>
      </c>
      <c r="C53" s="10">
        <f>E53*D53</f>
        <v/>
      </c>
      <c r="D53" s="10">
        <f>F53^(2/3)</f>
        <v/>
      </c>
      <c r="E53" s="10">
        <f>(B53-SIN(B53))/(2*PI())</f>
        <v/>
      </c>
      <c r="F53" s="10">
        <f>(1-SIN(B53)/B53)</f>
        <v/>
      </c>
    </row>
    <row r="54">
      <c r="A54" s="12" t="n">
        <v>0.5</v>
      </c>
      <c r="B54" s="10">
        <f>2*ACOS(1-2*A54)</f>
        <v/>
      </c>
      <c r="C54" s="10">
        <f>E54*D54</f>
        <v/>
      </c>
      <c r="D54" s="10">
        <f>F54^(2/3)</f>
        <v/>
      </c>
      <c r="E54" s="10">
        <f>(B54-SIN(B54))/(2*PI())</f>
        <v/>
      </c>
      <c r="F54" s="10">
        <f>(1-SIN(B54)/B54)</f>
        <v/>
      </c>
    </row>
    <row r="55">
      <c r="A55" s="12" t="n">
        <v>0.51</v>
      </c>
      <c r="B55" s="10">
        <f>2*ACOS(1-2*A55)</f>
        <v/>
      </c>
      <c r="C55" s="10">
        <f>E55*D55</f>
        <v/>
      </c>
      <c r="D55" s="10">
        <f>F55^(2/3)</f>
        <v/>
      </c>
      <c r="E55" s="10">
        <f>(B55-SIN(B55))/(2*PI())</f>
        <v/>
      </c>
      <c r="F55" s="10">
        <f>(1-SIN(B55)/B55)</f>
        <v/>
      </c>
    </row>
    <row r="56">
      <c r="A56" s="12" t="n">
        <v>0.52</v>
      </c>
      <c r="B56" s="10">
        <f>2*ACOS(1-2*A56)</f>
        <v/>
      </c>
      <c r="C56" s="10">
        <f>E56*D56</f>
        <v/>
      </c>
      <c r="D56" s="10">
        <f>F56^(2/3)</f>
        <v/>
      </c>
      <c r="E56" s="10">
        <f>(B56-SIN(B56))/(2*PI())</f>
        <v/>
      </c>
      <c r="F56" s="10">
        <f>(1-SIN(B56)/B56)</f>
        <v/>
      </c>
    </row>
    <row r="57">
      <c r="A57" s="12" t="n">
        <v>0.53</v>
      </c>
      <c r="B57" s="10">
        <f>2*ACOS(1-2*A57)</f>
        <v/>
      </c>
      <c r="C57" s="10">
        <f>E57*D57</f>
        <v/>
      </c>
      <c r="D57" s="10">
        <f>F57^(2/3)</f>
        <v/>
      </c>
      <c r="E57" s="10">
        <f>(B57-SIN(B57))/(2*PI())</f>
        <v/>
      </c>
      <c r="F57" s="10">
        <f>(1-SIN(B57)/B57)</f>
        <v/>
      </c>
    </row>
    <row r="58">
      <c r="A58" s="12" t="n">
        <v>0.54</v>
      </c>
      <c r="B58" s="10">
        <f>2*ACOS(1-2*A58)</f>
        <v/>
      </c>
      <c r="C58" s="10">
        <f>E58*D58</f>
        <v/>
      </c>
      <c r="D58" s="10">
        <f>F58^(2/3)</f>
        <v/>
      </c>
      <c r="E58" s="10">
        <f>(B58-SIN(B58))/(2*PI())</f>
        <v/>
      </c>
      <c r="F58" s="10">
        <f>(1-SIN(B58)/B58)</f>
        <v/>
      </c>
    </row>
    <row r="59">
      <c r="A59" s="12" t="n">
        <v>0.55</v>
      </c>
      <c r="B59" s="10">
        <f>2*ACOS(1-2*A59)</f>
        <v/>
      </c>
      <c r="C59" s="10">
        <f>E59*D59</f>
        <v/>
      </c>
      <c r="D59" s="10">
        <f>F59^(2/3)</f>
        <v/>
      </c>
      <c r="E59" s="10">
        <f>(B59-SIN(B59))/(2*PI())</f>
        <v/>
      </c>
      <c r="F59" s="10">
        <f>(1-SIN(B59)/B59)</f>
        <v/>
      </c>
    </row>
    <row r="60">
      <c r="A60" s="12" t="n">
        <v>0.5600000000000001</v>
      </c>
      <c r="B60" s="10">
        <f>2*ACOS(1-2*A60)</f>
        <v/>
      </c>
      <c r="C60" s="10">
        <f>E60*D60</f>
        <v/>
      </c>
      <c r="D60" s="10">
        <f>F60^(2/3)</f>
        <v/>
      </c>
      <c r="E60" s="10">
        <f>(B60-SIN(B60))/(2*PI())</f>
        <v/>
      </c>
      <c r="F60" s="10">
        <f>(1-SIN(B60)/B60)</f>
        <v/>
      </c>
    </row>
    <row r="61">
      <c r="A61" s="12" t="n">
        <v>0.57</v>
      </c>
      <c r="B61" s="10">
        <f>2*ACOS(1-2*A61)</f>
        <v/>
      </c>
      <c r="C61" s="10">
        <f>E61*D61</f>
        <v/>
      </c>
      <c r="D61" s="10">
        <f>F61^(2/3)</f>
        <v/>
      </c>
      <c r="E61" s="10">
        <f>(B61-SIN(B61))/(2*PI())</f>
        <v/>
      </c>
      <c r="F61" s="10">
        <f>(1-SIN(B61)/B61)</f>
        <v/>
      </c>
    </row>
    <row r="62">
      <c r="A62" s="12" t="n">
        <v>0.58</v>
      </c>
      <c r="B62" s="10">
        <f>2*ACOS(1-2*A62)</f>
        <v/>
      </c>
      <c r="C62" s="10">
        <f>E62*D62</f>
        <v/>
      </c>
      <c r="D62" s="10">
        <f>F62^(2/3)</f>
        <v/>
      </c>
      <c r="E62" s="10">
        <f>(B62-SIN(B62))/(2*PI())</f>
        <v/>
      </c>
      <c r="F62" s="10">
        <f>(1-SIN(B62)/B62)</f>
        <v/>
      </c>
    </row>
    <row r="63">
      <c r="A63" s="12" t="n">
        <v>0.59</v>
      </c>
      <c r="B63" s="10">
        <f>2*ACOS(1-2*A63)</f>
        <v/>
      </c>
      <c r="C63" s="10">
        <f>E63*D63</f>
        <v/>
      </c>
      <c r="D63" s="10">
        <f>F63^(2/3)</f>
        <v/>
      </c>
      <c r="E63" s="10">
        <f>(B63-SIN(B63))/(2*PI())</f>
        <v/>
      </c>
      <c r="F63" s="10">
        <f>(1-SIN(B63)/B63)</f>
        <v/>
      </c>
    </row>
    <row r="64">
      <c r="A64" s="12" t="n">
        <v>0.6</v>
      </c>
      <c r="B64" s="10">
        <f>2*ACOS(1-2*A64)</f>
        <v/>
      </c>
      <c r="C64" s="10">
        <f>E64*D64</f>
        <v/>
      </c>
      <c r="D64" s="10">
        <f>F64^(2/3)</f>
        <v/>
      </c>
      <c r="E64" s="10">
        <f>(B64-SIN(B64))/(2*PI())</f>
        <v/>
      </c>
      <c r="F64" s="10">
        <f>(1-SIN(B64)/B64)</f>
        <v/>
      </c>
    </row>
    <row r="65">
      <c r="A65" s="12" t="n">
        <v>0.61</v>
      </c>
      <c r="B65" s="10">
        <f>2*ACOS(1-2*A65)</f>
        <v/>
      </c>
      <c r="C65" s="10">
        <f>E65*D65</f>
        <v/>
      </c>
      <c r="D65" s="10">
        <f>F65^(2/3)</f>
        <v/>
      </c>
      <c r="E65" s="10">
        <f>(B65-SIN(B65))/(2*PI())</f>
        <v/>
      </c>
      <c r="F65" s="10">
        <f>(1-SIN(B65)/B65)</f>
        <v/>
      </c>
    </row>
    <row r="66">
      <c r="A66" s="12" t="n">
        <v>0.62</v>
      </c>
      <c r="B66" s="10">
        <f>2*ACOS(1-2*A66)</f>
        <v/>
      </c>
      <c r="C66" s="10">
        <f>E66*D66</f>
        <v/>
      </c>
      <c r="D66" s="10">
        <f>F66^(2/3)</f>
        <v/>
      </c>
      <c r="E66" s="10">
        <f>(B66-SIN(B66))/(2*PI())</f>
        <v/>
      </c>
      <c r="F66" s="10">
        <f>(1-SIN(B66)/B66)</f>
        <v/>
      </c>
    </row>
    <row r="67">
      <c r="A67" s="12" t="n">
        <v>0.63</v>
      </c>
      <c r="B67" s="10">
        <f>2*ACOS(1-2*A67)</f>
        <v/>
      </c>
      <c r="C67" s="10">
        <f>E67*D67</f>
        <v/>
      </c>
      <c r="D67" s="10">
        <f>F67^(2/3)</f>
        <v/>
      </c>
      <c r="E67" s="10">
        <f>(B67-SIN(B67))/(2*PI())</f>
        <v/>
      </c>
      <c r="F67" s="10">
        <f>(1-SIN(B67)/B67)</f>
        <v/>
      </c>
    </row>
    <row r="68">
      <c r="A68" s="12" t="n">
        <v>0.64</v>
      </c>
      <c r="B68" s="10">
        <f>2*ACOS(1-2*A68)</f>
        <v/>
      </c>
      <c r="C68" s="10">
        <f>E68*D68</f>
        <v/>
      </c>
      <c r="D68" s="10">
        <f>F68^(2/3)</f>
        <v/>
      </c>
      <c r="E68" s="10">
        <f>(B68-SIN(B68))/(2*PI())</f>
        <v/>
      </c>
      <c r="F68" s="10">
        <f>(1-SIN(B68)/B68)</f>
        <v/>
      </c>
    </row>
    <row r="69">
      <c r="A69" s="12" t="n">
        <v>0.65</v>
      </c>
      <c r="B69" s="10">
        <f>2*ACOS(1-2*A69)</f>
        <v/>
      </c>
      <c r="C69" s="10">
        <f>E69*D69</f>
        <v/>
      </c>
      <c r="D69" s="10">
        <f>F69^(2/3)</f>
        <v/>
      </c>
      <c r="E69" s="10">
        <f>(B69-SIN(B69))/(2*PI())</f>
        <v/>
      </c>
      <c r="F69" s="10">
        <f>(1-SIN(B69)/B69)</f>
        <v/>
      </c>
    </row>
    <row r="70">
      <c r="A70" s="12" t="n">
        <v>0.66</v>
      </c>
      <c r="B70" s="10">
        <f>2*ACOS(1-2*A70)</f>
        <v/>
      </c>
      <c r="C70" s="10">
        <f>E70*D70</f>
        <v/>
      </c>
      <c r="D70" s="10">
        <f>F70^(2/3)</f>
        <v/>
      </c>
      <c r="E70" s="10">
        <f>(B70-SIN(B70))/(2*PI())</f>
        <v/>
      </c>
      <c r="F70" s="10">
        <f>(1-SIN(B70)/B70)</f>
        <v/>
      </c>
    </row>
    <row r="71">
      <c r="A71" s="12" t="n">
        <v>0.67</v>
      </c>
      <c r="B71" s="10">
        <f>2*ACOS(1-2*A71)</f>
        <v/>
      </c>
      <c r="C71" s="10">
        <f>E71*D71</f>
        <v/>
      </c>
      <c r="D71" s="10">
        <f>F71^(2/3)</f>
        <v/>
      </c>
      <c r="E71" s="10">
        <f>(B71-SIN(B71))/(2*PI())</f>
        <v/>
      </c>
      <c r="F71" s="10">
        <f>(1-SIN(B71)/B71)</f>
        <v/>
      </c>
    </row>
    <row r="72">
      <c r="A72" s="12" t="n">
        <v>0.68</v>
      </c>
      <c r="B72" s="10">
        <f>2*ACOS(1-2*A72)</f>
        <v/>
      </c>
      <c r="C72" s="10">
        <f>E72*D72</f>
        <v/>
      </c>
      <c r="D72" s="10">
        <f>F72^(2/3)</f>
        <v/>
      </c>
      <c r="E72" s="10">
        <f>(B72-SIN(B72))/(2*PI())</f>
        <v/>
      </c>
      <c r="F72" s="10">
        <f>(1-SIN(B72)/B72)</f>
        <v/>
      </c>
    </row>
    <row r="73">
      <c r="A73" s="12" t="n">
        <v>0.6899999999999999</v>
      </c>
      <c r="B73" s="10">
        <f>2*ACOS(1-2*A73)</f>
        <v/>
      </c>
      <c r="C73" s="10">
        <f>E73*D73</f>
        <v/>
      </c>
      <c r="D73" s="10">
        <f>F73^(2/3)</f>
        <v/>
      </c>
      <c r="E73" s="10">
        <f>(B73-SIN(B73))/(2*PI())</f>
        <v/>
      </c>
      <c r="F73" s="10">
        <f>(1-SIN(B73)/B73)</f>
        <v/>
      </c>
    </row>
    <row r="74">
      <c r="A74" s="12" t="n">
        <v>0.7</v>
      </c>
      <c r="B74" s="10">
        <f>2*ACOS(1-2*A74)</f>
        <v/>
      </c>
      <c r="C74" s="10">
        <f>E74*D74</f>
        <v/>
      </c>
      <c r="D74" s="10">
        <f>F74^(2/3)</f>
        <v/>
      </c>
      <c r="E74" s="10">
        <f>(B74-SIN(B74))/(2*PI())</f>
        <v/>
      </c>
      <c r="F74" s="10">
        <f>(1-SIN(B74)/B74)</f>
        <v/>
      </c>
    </row>
    <row r="75">
      <c r="A75" s="12" t="n">
        <v>0.71</v>
      </c>
      <c r="B75" s="10">
        <f>2*ACOS(1-2*A75)</f>
        <v/>
      </c>
      <c r="C75" s="10">
        <f>E75*D75</f>
        <v/>
      </c>
      <c r="D75" s="10">
        <f>F75^(2/3)</f>
        <v/>
      </c>
      <c r="E75" s="10">
        <f>(B75-SIN(B75))/(2*PI())</f>
        <v/>
      </c>
      <c r="F75" s="10">
        <f>(1-SIN(B75)/B75)</f>
        <v/>
      </c>
    </row>
    <row r="76">
      <c r="A76" s="12" t="n">
        <v>0.72</v>
      </c>
      <c r="B76" s="10">
        <f>2*ACOS(1-2*A76)</f>
        <v/>
      </c>
      <c r="C76" s="10">
        <f>E76*D76</f>
        <v/>
      </c>
      <c r="D76" s="10">
        <f>F76^(2/3)</f>
        <v/>
      </c>
      <c r="E76" s="10">
        <f>(B76-SIN(B76))/(2*PI())</f>
        <v/>
      </c>
      <c r="F76" s="10">
        <f>(1-SIN(B76)/B76)</f>
        <v/>
      </c>
    </row>
    <row r="77">
      <c r="A77" s="12" t="n">
        <v>0.73</v>
      </c>
      <c r="B77" s="10">
        <f>2*ACOS(1-2*A77)</f>
        <v/>
      </c>
      <c r="C77" s="10">
        <f>E77*D77</f>
        <v/>
      </c>
      <c r="D77" s="10">
        <f>F77^(2/3)</f>
        <v/>
      </c>
      <c r="E77" s="10">
        <f>(B77-SIN(B77))/(2*PI())</f>
        <v/>
      </c>
      <c r="F77" s="10">
        <f>(1-SIN(B77)/B77)</f>
        <v/>
      </c>
    </row>
    <row r="78">
      <c r="A78" s="12" t="n">
        <v>0.74</v>
      </c>
      <c r="B78" s="10">
        <f>2*ACOS(1-2*A78)</f>
        <v/>
      </c>
      <c r="C78" s="10">
        <f>E78*D78</f>
        <v/>
      </c>
      <c r="D78" s="10">
        <f>F78^(2/3)</f>
        <v/>
      </c>
      <c r="E78" s="10">
        <f>(B78-SIN(B78))/(2*PI())</f>
        <v/>
      </c>
      <c r="F78" s="10">
        <f>(1-SIN(B78)/B78)</f>
        <v/>
      </c>
    </row>
    <row r="79">
      <c r="A79" s="12" t="n">
        <v>0.75</v>
      </c>
      <c r="B79" s="10">
        <f>2*ACOS(1-2*A79)</f>
        <v/>
      </c>
      <c r="C79" s="10">
        <f>E79*D79</f>
        <v/>
      </c>
      <c r="D79" s="10">
        <f>F79^(2/3)</f>
        <v/>
      </c>
      <c r="E79" s="10">
        <f>(B79-SIN(B79))/(2*PI())</f>
        <v/>
      </c>
      <c r="F79" s="10">
        <f>(1-SIN(B79)/B79)</f>
        <v/>
      </c>
    </row>
    <row r="80">
      <c r="A80" s="12" t="n">
        <v>0.76</v>
      </c>
      <c r="B80" s="10">
        <f>2*ACOS(1-2*A80)</f>
        <v/>
      </c>
      <c r="C80" s="10">
        <f>E80*D80</f>
        <v/>
      </c>
      <c r="D80" s="10">
        <f>F80^(2/3)</f>
        <v/>
      </c>
      <c r="E80" s="10">
        <f>(B80-SIN(B80))/(2*PI())</f>
        <v/>
      </c>
      <c r="F80" s="10">
        <f>(1-SIN(B80)/B80)</f>
        <v/>
      </c>
    </row>
    <row r="81">
      <c r="A81" s="12" t="n">
        <v>0.77</v>
      </c>
      <c r="B81" s="10">
        <f>2*ACOS(1-2*A81)</f>
        <v/>
      </c>
      <c r="C81" s="10">
        <f>E81*D81</f>
        <v/>
      </c>
      <c r="D81" s="10">
        <f>F81^(2/3)</f>
        <v/>
      </c>
      <c r="E81" s="10">
        <f>(B81-SIN(B81))/(2*PI())</f>
        <v/>
      </c>
      <c r="F81" s="10">
        <f>(1-SIN(B81)/B81)</f>
        <v/>
      </c>
    </row>
    <row r="82">
      <c r="A82" s="12" t="n">
        <v>0.78</v>
      </c>
      <c r="B82" s="10">
        <f>2*ACOS(1-2*A82)</f>
        <v/>
      </c>
      <c r="C82" s="10">
        <f>E82*D82</f>
        <v/>
      </c>
      <c r="D82" s="10">
        <f>F82^(2/3)</f>
        <v/>
      </c>
      <c r="E82" s="10">
        <f>(B82-SIN(B82))/(2*PI())</f>
        <v/>
      </c>
      <c r="F82" s="10">
        <f>(1-SIN(B82)/B82)</f>
        <v/>
      </c>
    </row>
    <row r="83">
      <c r="A83" s="12" t="n">
        <v>0.79</v>
      </c>
      <c r="B83" s="10">
        <f>2*ACOS(1-2*A83)</f>
        <v/>
      </c>
      <c r="C83" s="10">
        <f>E83*D83</f>
        <v/>
      </c>
      <c r="D83" s="10">
        <f>F83^(2/3)</f>
        <v/>
      </c>
      <c r="E83" s="10">
        <f>(B83-SIN(B83))/(2*PI())</f>
        <v/>
      </c>
      <c r="F83" s="10">
        <f>(1-SIN(B83)/B83)</f>
        <v/>
      </c>
    </row>
    <row r="84">
      <c r="A84" s="12" t="n">
        <v>0.8</v>
      </c>
      <c r="B84" s="10">
        <f>2*ACOS(1-2*A84)</f>
        <v/>
      </c>
      <c r="C84" s="10">
        <f>E84*D84</f>
        <v/>
      </c>
      <c r="D84" s="10">
        <f>F84^(2/3)</f>
        <v/>
      </c>
      <c r="E84" s="10">
        <f>(B84-SIN(B84))/(2*PI())</f>
        <v/>
      </c>
      <c r="F84" s="10">
        <f>(1-SIN(B84)/B84)</f>
        <v/>
      </c>
    </row>
    <row r="85">
      <c r="A85" s="12" t="n">
        <v>0.8100000000000001</v>
      </c>
      <c r="B85" s="10">
        <f>2*ACOS(1-2*A85)</f>
        <v/>
      </c>
      <c r="C85" s="10">
        <f>E85*D85</f>
        <v/>
      </c>
      <c r="D85" s="10">
        <f>F85^(2/3)</f>
        <v/>
      </c>
      <c r="E85" s="10">
        <f>(B85-SIN(B85))/(2*PI())</f>
        <v/>
      </c>
      <c r="F85" s="10">
        <f>(1-SIN(B85)/B85)</f>
        <v/>
      </c>
    </row>
    <row r="86">
      <c r="A86" s="12" t="n">
        <v>0.82</v>
      </c>
      <c r="B86" s="10">
        <f>2*ACOS(1-2*A86)</f>
        <v/>
      </c>
      <c r="C86" s="10">
        <f>E86*D86</f>
        <v/>
      </c>
      <c r="D86" s="10">
        <f>F86^(2/3)</f>
        <v/>
      </c>
      <c r="E86" s="10">
        <f>(B86-SIN(B86))/(2*PI())</f>
        <v/>
      </c>
      <c r="F86" s="10">
        <f>(1-SIN(B86)/B86)</f>
        <v/>
      </c>
    </row>
    <row r="87">
      <c r="A87" s="12" t="n">
        <v>0.83</v>
      </c>
      <c r="B87" s="10">
        <f>2*ACOS(1-2*A87)</f>
        <v/>
      </c>
      <c r="C87" s="10">
        <f>E87*D87</f>
        <v/>
      </c>
      <c r="D87" s="10">
        <f>F87^(2/3)</f>
        <v/>
      </c>
      <c r="E87" s="10">
        <f>(B87-SIN(B87))/(2*PI())</f>
        <v/>
      </c>
      <c r="F87" s="10">
        <f>(1-SIN(B87)/B87)</f>
        <v/>
      </c>
    </row>
    <row r="88">
      <c r="A88" s="12" t="n">
        <v>0.84</v>
      </c>
      <c r="B88" s="10">
        <f>2*ACOS(1-2*A88)</f>
        <v/>
      </c>
      <c r="C88" s="10">
        <f>E88*D88</f>
        <v/>
      </c>
      <c r="D88" s="10">
        <f>F88^(2/3)</f>
        <v/>
      </c>
      <c r="E88" s="10">
        <f>(B88-SIN(B88))/(2*PI())</f>
        <v/>
      </c>
      <c r="F88" s="10">
        <f>(1-SIN(B88)/B88)</f>
        <v/>
      </c>
    </row>
    <row r="89">
      <c r="A89" s="12" t="n">
        <v>0.85</v>
      </c>
      <c r="B89" s="10">
        <f>2*ACOS(1-2*A89)</f>
        <v/>
      </c>
      <c r="C89" s="10">
        <f>E89*D89</f>
        <v/>
      </c>
      <c r="D89" s="10">
        <f>F89^(2/3)</f>
        <v/>
      </c>
      <c r="E89" s="10">
        <f>(B89-SIN(B89))/(2*PI())</f>
        <v/>
      </c>
      <c r="F89" s="10">
        <f>(1-SIN(B89)/B89)</f>
        <v/>
      </c>
    </row>
    <row r="90">
      <c r="A90" s="12" t="n">
        <v>0.86</v>
      </c>
      <c r="B90" s="10">
        <f>2*ACOS(1-2*A90)</f>
        <v/>
      </c>
      <c r="C90" s="10">
        <f>E90*D90</f>
        <v/>
      </c>
      <c r="D90" s="10">
        <f>F90^(2/3)</f>
        <v/>
      </c>
      <c r="E90" s="10">
        <f>(B90-SIN(B90))/(2*PI())</f>
        <v/>
      </c>
      <c r="F90" s="10">
        <f>(1-SIN(B90)/B90)</f>
        <v/>
      </c>
    </row>
    <row r="91">
      <c r="A91" s="12" t="n">
        <v>0.87</v>
      </c>
      <c r="B91" s="10">
        <f>2*ACOS(1-2*A91)</f>
        <v/>
      </c>
      <c r="C91" s="10">
        <f>E91*D91</f>
        <v/>
      </c>
      <c r="D91" s="10">
        <f>F91^(2/3)</f>
        <v/>
      </c>
      <c r="E91" s="10">
        <f>(B91-SIN(B91))/(2*PI())</f>
        <v/>
      </c>
      <c r="F91" s="10">
        <f>(1-SIN(B91)/B91)</f>
        <v/>
      </c>
    </row>
    <row r="92">
      <c r="A92" s="12" t="n">
        <v>0.88</v>
      </c>
      <c r="B92" s="10">
        <f>2*ACOS(1-2*A92)</f>
        <v/>
      </c>
      <c r="C92" s="10">
        <f>E92*D92</f>
        <v/>
      </c>
      <c r="D92" s="10">
        <f>F92^(2/3)</f>
        <v/>
      </c>
      <c r="E92" s="10">
        <f>(B92-SIN(B92))/(2*PI())</f>
        <v/>
      </c>
      <c r="F92" s="10">
        <f>(1-SIN(B92)/B92)</f>
        <v/>
      </c>
    </row>
    <row r="93">
      <c r="A93" s="12" t="n">
        <v>0.89</v>
      </c>
      <c r="B93" s="10">
        <f>2*ACOS(1-2*A93)</f>
        <v/>
      </c>
      <c r="C93" s="10">
        <f>E93*D93</f>
        <v/>
      </c>
      <c r="D93" s="10">
        <f>F93^(2/3)</f>
        <v/>
      </c>
      <c r="E93" s="10">
        <f>(B93-SIN(B93))/(2*PI())</f>
        <v/>
      </c>
      <c r="F93" s="10">
        <f>(1-SIN(B93)/B93)</f>
        <v/>
      </c>
    </row>
    <row r="94">
      <c r="A94" s="12" t="n">
        <v>0.9</v>
      </c>
      <c r="B94" s="10">
        <f>2*ACOS(1-2*A94)</f>
        <v/>
      </c>
      <c r="C94" s="10">
        <f>E94*D94</f>
        <v/>
      </c>
      <c r="D94" s="10">
        <f>F94^(2/3)</f>
        <v/>
      </c>
      <c r="E94" s="10">
        <f>(B94-SIN(B94))/(2*PI())</f>
        <v/>
      </c>
      <c r="F94" s="10">
        <f>(1-SIN(B94)/B94)</f>
        <v/>
      </c>
    </row>
    <row r="95">
      <c r="A95" s="12" t="n">
        <v>0.91</v>
      </c>
      <c r="B95" s="10">
        <f>2*ACOS(1-2*A95)</f>
        <v/>
      </c>
      <c r="C95" s="10">
        <f>E95*D95</f>
        <v/>
      </c>
      <c r="D95" s="10">
        <f>F95^(2/3)</f>
        <v/>
      </c>
      <c r="E95" s="10">
        <f>(B95-SIN(B95))/(2*PI())</f>
        <v/>
      </c>
      <c r="F95" s="10">
        <f>(1-SIN(B95)/B95)</f>
        <v/>
      </c>
    </row>
    <row r="96">
      <c r="A96" s="12" t="n">
        <v>0.92</v>
      </c>
      <c r="B96" s="10">
        <f>2*ACOS(1-2*A96)</f>
        <v/>
      </c>
      <c r="C96" s="10">
        <f>E96*D96</f>
        <v/>
      </c>
      <c r="D96" s="10">
        <f>F96^(2/3)</f>
        <v/>
      </c>
      <c r="E96" s="10">
        <f>(B96-SIN(B96))/(2*PI())</f>
        <v/>
      </c>
      <c r="F96" s="10">
        <f>(1-SIN(B96)/B96)</f>
        <v/>
      </c>
    </row>
    <row r="97">
      <c r="A97" s="12" t="n">
        <v>0.93</v>
      </c>
      <c r="B97" s="10">
        <f>2*ACOS(1-2*A97)</f>
        <v/>
      </c>
      <c r="C97" s="10">
        <f>E97*D97</f>
        <v/>
      </c>
      <c r="D97" s="10">
        <f>F97^(2/3)</f>
        <v/>
      </c>
      <c r="E97" s="10">
        <f>(B97-SIN(B97))/(2*PI())</f>
        <v/>
      </c>
      <c r="F97" s="10">
        <f>(1-SIN(B97)/B97)</f>
        <v/>
      </c>
    </row>
    <row r="98">
      <c r="A98" s="12" t="n">
        <v>0.9399999999999999</v>
      </c>
      <c r="B98" s="10">
        <f>2*ACOS(1-2*A98)</f>
        <v/>
      </c>
      <c r="C98" s="10">
        <f>E98*D98</f>
        <v/>
      </c>
      <c r="D98" s="10">
        <f>F98^(2/3)</f>
        <v/>
      </c>
      <c r="E98" s="10">
        <f>(B98-SIN(B98))/(2*PI())</f>
        <v/>
      </c>
      <c r="F98" s="10">
        <f>(1-SIN(B98)/B98)</f>
        <v/>
      </c>
    </row>
    <row r="99">
      <c r="A99" s="12" t="n">
        <v>0.95</v>
      </c>
      <c r="B99" s="10">
        <f>2*ACOS(1-2*A99)</f>
        <v/>
      </c>
      <c r="C99" s="10">
        <f>E99*D99</f>
        <v/>
      </c>
      <c r="D99" s="10">
        <f>F99^(2/3)</f>
        <v/>
      </c>
      <c r="E99" s="10">
        <f>(B99-SIN(B99))/(2*PI())</f>
        <v/>
      </c>
      <c r="F99" s="10">
        <f>(1-SIN(B99)/B99)</f>
        <v/>
      </c>
    </row>
    <row r="100">
      <c r="A100" s="12" t="n">
        <v>0.96</v>
      </c>
      <c r="B100" s="10">
        <f>2*ACOS(1-2*A100)</f>
        <v/>
      </c>
      <c r="C100" s="10">
        <f>E100*D100</f>
        <v/>
      </c>
      <c r="D100" s="10">
        <f>F100^(2/3)</f>
        <v/>
      </c>
      <c r="E100" s="10">
        <f>(B100-SIN(B100))/(2*PI())</f>
        <v/>
      </c>
      <c r="F100" s="10">
        <f>(1-SIN(B100)/B100)</f>
        <v/>
      </c>
    </row>
    <row r="101">
      <c r="A101" s="12" t="n">
        <v>0.97</v>
      </c>
      <c r="B101" s="10">
        <f>2*ACOS(1-2*A101)</f>
        <v/>
      </c>
      <c r="C101" s="10">
        <f>E101*D101</f>
        <v/>
      </c>
      <c r="D101" s="10">
        <f>F101^(2/3)</f>
        <v/>
      </c>
      <c r="E101" s="10">
        <f>(B101-SIN(B101))/(2*PI())</f>
        <v/>
      </c>
      <c r="F101" s="10">
        <f>(1-SIN(B101)/B101)</f>
        <v/>
      </c>
    </row>
    <row r="102">
      <c r="A102" s="12" t="n">
        <v>0.98</v>
      </c>
      <c r="B102" s="10">
        <f>2*ACOS(1-2*A102)</f>
        <v/>
      </c>
      <c r="C102" s="10">
        <f>E102*D102</f>
        <v/>
      </c>
      <c r="D102" s="10">
        <f>F102^(2/3)</f>
        <v/>
      </c>
      <c r="E102" s="10">
        <f>(B102-SIN(B102))/(2*PI())</f>
        <v/>
      </c>
      <c r="F102" s="10">
        <f>(1-SIN(B102)/B102)</f>
        <v/>
      </c>
    </row>
    <row r="103">
      <c r="A103" s="12" t="n">
        <v>0.99</v>
      </c>
      <c r="B103" s="10">
        <f>2*ACOS(1-2*A103)</f>
        <v/>
      </c>
      <c r="C103" s="10">
        <f>E103*D103</f>
        <v/>
      </c>
      <c r="D103" s="10">
        <f>F103^(2/3)</f>
        <v/>
      </c>
      <c r="E103" s="10">
        <f>(B103-SIN(B103))/(2*PI())</f>
        <v/>
      </c>
      <c r="F103" s="10">
        <f>(1-SIN(B103)/B103)</f>
        <v/>
      </c>
    </row>
    <row r="104">
      <c r="A104" s="12" t="n">
        <v>1</v>
      </c>
      <c r="B104" s="10">
        <f>2*ACOS(1-2*A104)</f>
        <v/>
      </c>
      <c r="C104" s="10">
        <f>E104*D104</f>
        <v/>
      </c>
      <c r="D104" s="10">
        <f>F104^(2/3)</f>
        <v/>
      </c>
      <c r="E104" s="10">
        <f>(B104-SIN(B104))/(2*PI())</f>
        <v/>
      </c>
      <c r="F104" s="10">
        <f>(1-SIN(B104)/B104)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8" customWidth="1" min="4" max="4"/>
    <col width="9" customWidth="1" min="5" max="5"/>
    <col width="7" customWidth="1" min="6" max="6"/>
    <col width="11" customWidth="1" min="7" max="7"/>
    <col width="11" customWidth="1" min="8" max="8"/>
    <col width="10" customWidth="1" min="9" max="9"/>
    <col width="9" customWidth="1" min="10" max="10"/>
    <col width="8" customWidth="1" min="11" max="11"/>
    <col width="11" customWidth="1" min="12" max="12"/>
    <col width="10" customWidth="1" min="13" max="13"/>
    <col width="10" customWidth="1" min="14" max="14"/>
  </cols>
  <sheetData>
    <row r="1">
      <c r="A1" s="1" t="inlineStr">
        <is>
          <t>Pipe schedule: check several runs at once</t>
        </is>
      </c>
    </row>
    <row r="2">
      <c r="A2" s="2" t="inlineStr">
        <is>
          <t>Edit the yellow columns. Row 5 is an example; replace it with your own pipes. Velocity limits come from the Pipe Check tab.</t>
        </is>
      </c>
    </row>
    <row r="4">
      <c r="A4" s="16" t="inlineStr">
        <is>
          <t>Pipe / run</t>
        </is>
      </c>
      <c r="B4" s="16" t="inlineStr">
        <is>
          <t>From MH</t>
        </is>
      </c>
      <c r="C4" s="16" t="inlineStr">
        <is>
          <t>To MH</t>
        </is>
      </c>
      <c r="D4" s="16" t="inlineStr">
        <is>
          <t>D (mm)</t>
        </is>
      </c>
      <c r="E4" s="16" t="inlineStr">
        <is>
          <t>Slope (%)</t>
        </is>
      </c>
      <c r="F4" s="16" t="inlineStr">
        <is>
          <t>n</t>
        </is>
      </c>
      <c r="G4" s="16" t="inlineStr">
        <is>
          <t>Design Q (L/s)</t>
        </is>
      </c>
      <c r="H4" s="16" t="inlineStr">
        <is>
          <t>Qfull (L/s)</t>
        </is>
      </c>
      <c r="I4" s="16" t="inlineStr">
        <is>
          <t>Vfull (m/s)</t>
        </is>
      </c>
      <c r="J4" s="16" t="inlineStr">
        <is>
          <t>Q/Qfull</t>
        </is>
      </c>
      <c r="K4" s="16" t="inlineStr">
        <is>
          <t>d/D</t>
        </is>
      </c>
      <c r="L4" s="16" t="inlineStr">
        <is>
          <t>V at Q (m/s)</t>
        </is>
      </c>
      <c r="M4" s="16" t="inlineStr">
        <is>
          <t>Capacity</t>
        </is>
      </c>
      <c r="N4" s="16" t="inlineStr">
        <is>
          <t>Velocity</t>
        </is>
      </c>
    </row>
    <row r="5">
      <c r="A5" s="17" t="inlineStr">
        <is>
          <t>STM-1</t>
        </is>
      </c>
      <c r="B5" s="17" t="inlineStr">
        <is>
          <t>MH1</t>
        </is>
      </c>
      <c r="C5" s="17" t="inlineStr">
        <is>
          <t>MH2</t>
        </is>
      </c>
      <c r="D5" s="5" t="n">
        <v>300</v>
      </c>
      <c r="E5" s="6" t="n">
        <v>0.5</v>
      </c>
      <c r="F5" s="7" t="n">
        <v>0.013</v>
      </c>
      <c r="G5" s="8" t="n">
        <v>50</v>
      </c>
      <c r="H5" s="11">
        <f>IF(OR(D5="",E5="",F5=""),"",1000*(1/F5)*(PI()*(D5/1000)^2/4)*((D5/1000)/4)^(2/3)*SQRT(E5/100))</f>
        <v/>
      </c>
      <c r="I5" s="12">
        <f>IF(H5="","",(H5/1000)/(PI()*(D5/1000)^2/4))</f>
        <v/>
      </c>
      <c r="J5" s="12">
        <f>IF(OR(H5="",G5=""),"",G5/H5)</f>
        <v/>
      </c>
      <c r="K5" s="12">
        <f>IF(J5="","",IF(J5&gt;1,"Surch.",INDEX('Partial Flow'!$A$5:$A$97,IFERROR(MATCH(J5,'Partial Flow'!$C$5:$C$97,1),0)+IF(ISNA(MATCH(J5,'Partial Flow'!$C$5:$C$97,0)),1,0))))</f>
        <v/>
      </c>
      <c r="L5" s="12">
        <f>IF(J5="","",IF(J5&gt;1,(G5/1000)/(PI()*(D5/1000)^2/4),INDEX('Partial Flow'!$D$5:$D$104,MATCH(K5,'Partial Flow'!$A$5:$A$104,0))*I5))</f>
        <v/>
      </c>
      <c r="M5" s="18">
        <f>IF(J5="","",IF(J5&lt;=1,"OK","Over"))</f>
        <v/>
      </c>
      <c r="N5" s="18">
        <f>IF(L5="","",IF(L5&lt;'Pipe Check'!$B$10,"Low",IF(L5&gt;'Pipe Check'!$B$11,"High","OK")))</f>
        <v/>
      </c>
    </row>
    <row r="6">
      <c r="A6" s="17" t="n"/>
      <c r="B6" s="17" t="n"/>
      <c r="C6" s="17" t="n"/>
      <c r="D6" s="5" t="n"/>
      <c r="E6" s="6" t="n"/>
      <c r="F6" s="7" t="n"/>
      <c r="G6" s="8" t="n"/>
      <c r="H6" s="11">
        <f>IF(OR(D6="",E6="",F6=""),"",1000*(1/F6)*(PI()*(D6/1000)^2/4)*((D6/1000)/4)^(2/3)*SQRT(E6/100))</f>
        <v/>
      </c>
      <c r="I6" s="12">
        <f>IF(H6="","",(H6/1000)/(PI()*(D6/1000)^2/4))</f>
        <v/>
      </c>
      <c r="J6" s="12">
        <f>IF(OR(H6="",G6=""),"",G6/H6)</f>
        <v/>
      </c>
      <c r="K6" s="12">
        <f>IF(J6="","",IF(J6&gt;1,"Surch.",INDEX('Partial Flow'!$A$5:$A$97,IFERROR(MATCH(J6,'Partial Flow'!$C$5:$C$97,1),0)+IF(ISNA(MATCH(J6,'Partial Flow'!$C$5:$C$97,0)),1,0))))</f>
        <v/>
      </c>
      <c r="L6" s="12">
        <f>IF(J6="","",IF(J6&gt;1,(G6/1000)/(PI()*(D6/1000)^2/4),INDEX('Partial Flow'!$D$5:$D$104,MATCH(K6,'Partial Flow'!$A$5:$A$104,0))*I6))</f>
        <v/>
      </c>
      <c r="M6" s="18">
        <f>IF(J6="","",IF(J6&lt;=1,"OK","Over"))</f>
        <v/>
      </c>
      <c r="N6" s="18">
        <f>IF(L6="","",IF(L6&lt;'Pipe Check'!$B$10,"Low",IF(L6&gt;'Pipe Check'!$B$11,"High","OK")))</f>
        <v/>
      </c>
    </row>
    <row r="7">
      <c r="A7" s="17" t="n"/>
      <c r="B7" s="17" t="n"/>
      <c r="C7" s="17" t="n"/>
      <c r="D7" s="5" t="n"/>
      <c r="E7" s="6" t="n"/>
      <c r="F7" s="7" t="n"/>
      <c r="G7" s="8" t="n"/>
      <c r="H7" s="11">
        <f>IF(OR(D7="",E7="",F7=""),"",1000*(1/F7)*(PI()*(D7/1000)^2/4)*((D7/1000)/4)^(2/3)*SQRT(E7/100))</f>
        <v/>
      </c>
      <c r="I7" s="12">
        <f>IF(H7="","",(H7/1000)/(PI()*(D7/1000)^2/4))</f>
        <v/>
      </c>
      <c r="J7" s="12">
        <f>IF(OR(H7="",G7=""),"",G7/H7)</f>
        <v/>
      </c>
      <c r="K7" s="12">
        <f>IF(J7="","",IF(J7&gt;1,"Surch.",INDEX('Partial Flow'!$A$5:$A$97,IFERROR(MATCH(J7,'Partial Flow'!$C$5:$C$97,1),0)+IF(ISNA(MATCH(J7,'Partial Flow'!$C$5:$C$97,0)),1,0))))</f>
        <v/>
      </c>
      <c r="L7" s="12">
        <f>IF(J7="","",IF(J7&gt;1,(G7/1000)/(PI()*(D7/1000)^2/4),INDEX('Partial Flow'!$D$5:$D$104,MATCH(K7,'Partial Flow'!$A$5:$A$104,0))*I7))</f>
        <v/>
      </c>
      <c r="M7" s="18">
        <f>IF(J7="","",IF(J7&lt;=1,"OK","Over"))</f>
        <v/>
      </c>
      <c r="N7" s="18">
        <f>IF(L7="","",IF(L7&lt;'Pipe Check'!$B$10,"Low",IF(L7&gt;'Pipe Check'!$B$11,"High","OK")))</f>
        <v/>
      </c>
    </row>
    <row r="8">
      <c r="A8" s="17" t="n"/>
      <c r="B8" s="17" t="n"/>
      <c r="C8" s="17" t="n"/>
      <c r="D8" s="5" t="n"/>
      <c r="E8" s="6" t="n"/>
      <c r="F8" s="7" t="n"/>
      <c r="G8" s="8" t="n"/>
      <c r="H8" s="11">
        <f>IF(OR(D8="",E8="",F8=""),"",1000*(1/F8)*(PI()*(D8/1000)^2/4)*((D8/1000)/4)^(2/3)*SQRT(E8/100))</f>
        <v/>
      </c>
      <c r="I8" s="12">
        <f>IF(H8="","",(H8/1000)/(PI()*(D8/1000)^2/4))</f>
        <v/>
      </c>
      <c r="J8" s="12">
        <f>IF(OR(H8="",G8=""),"",G8/H8)</f>
        <v/>
      </c>
      <c r="K8" s="12">
        <f>IF(J8="","",IF(J8&gt;1,"Surch.",INDEX('Partial Flow'!$A$5:$A$97,IFERROR(MATCH(J8,'Partial Flow'!$C$5:$C$97,1),0)+IF(ISNA(MATCH(J8,'Partial Flow'!$C$5:$C$97,0)),1,0))))</f>
        <v/>
      </c>
      <c r="L8" s="12">
        <f>IF(J8="","",IF(J8&gt;1,(G8/1000)/(PI()*(D8/1000)^2/4),INDEX('Partial Flow'!$D$5:$D$104,MATCH(K8,'Partial Flow'!$A$5:$A$104,0))*I8))</f>
        <v/>
      </c>
      <c r="M8" s="18">
        <f>IF(J8="","",IF(J8&lt;=1,"OK","Over"))</f>
        <v/>
      </c>
      <c r="N8" s="18">
        <f>IF(L8="","",IF(L8&lt;'Pipe Check'!$B$10,"Low",IF(L8&gt;'Pipe Check'!$B$11,"High","OK")))</f>
        <v/>
      </c>
    </row>
    <row r="9">
      <c r="A9" s="17" t="n"/>
      <c r="B9" s="17" t="n"/>
      <c r="C9" s="17" t="n"/>
      <c r="D9" s="5" t="n"/>
      <c r="E9" s="6" t="n"/>
      <c r="F9" s="7" t="n"/>
      <c r="G9" s="8" t="n"/>
      <c r="H9" s="11">
        <f>IF(OR(D9="",E9="",F9=""),"",1000*(1/F9)*(PI()*(D9/1000)^2/4)*((D9/1000)/4)^(2/3)*SQRT(E9/100))</f>
        <v/>
      </c>
      <c r="I9" s="12">
        <f>IF(H9="","",(H9/1000)/(PI()*(D9/1000)^2/4))</f>
        <v/>
      </c>
      <c r="J9" s="12">
        <f>IF(OR(H9="",G9=""),"",G9/H9)</f>
        <v/>
      </c>
      <c r="K9" s="12">
        <f>IF(J9="","",IF(J9&gt;1,"Surch.",INDEX('Partial Flow'!$A$5:$A$97,IFERROR(MATCH(J9,'Partial Flow'!$C$5:$C$97,1),0)+IF(ISNA(MATCH(J9,'Partial Flow'!$C$5:$C$97,0)),1,0))))</f>
        <v/>
      </c>
      <c r="L9" s="12">
        <f>IF(J9="","",IF(J9&gt;1,(G9/1000)/(PI()*(D9/1000)^2/4),INDEX('Partial Flow'!$D$5:$D$104,MATCH(K9,'Partial Flow'!$A$5:$A$104,0))*I9))</f>
        <v/>
      </c>
      <c r="M9" s="18">
        <f>IF(J9="","",IF(J9&lt;=1,"OK","Over"))</f>
        <v/>
      </c>
      <c r="N9" s="18">
        <f>IF(L9="","",IF(L9&lt;'Pipe Check'!$B$10,"Low",IF(L9&gt;'Pipe Check'!$B$11,"High","OK")))</f>
        <v/>
      </c>
    </row>
    <row r="10">
      <c r="A10" s="17" t="n"/>
      <c r="B10" s="17" t="n"/>
      <c r="C10" s="17" t="n"/>
      <c r="D10" s="5" t="n"/>
      <c r="E10" s="6" t="n"/>
      <c r="F10" s="7" t="n"/>
      <c r="G10" s="8" t="n"/>
      <c r="H10" s="11">
        <f>IF(OR(D10="",E10="",F10=""),"",1000*(1/F10)*(PI()*(D10/1000)^2/4)*((D10/1000)/4)^(2/3)*SQRT(E10/100))</f>
        <v/>
      </c>
      <c r="I10" s="12">
        <f>IF(H10="","",(H10/1000)/(PI()*(D10/1000)^2/4))</f>
        <v/>
      </c>
      <c r="J10" s="12">
        <f>IF(OR(H10="",G10=""),"",G10/H10)</f>
        <v/>
      </c>
      <c r="K10" s="12">
        <f>IF(J10="","",IF(J10&gt;1,"Surch.",INDEX('Partial Flow'!$A$5:$A$97,IFERROR(MATCH(J10,'Partial Flow'!$C$5:$C$97,1),0)+IF(ISNA(MATCH(J10,'Partial Flow'!$C$5:$C$97,0)),1,0))))</f>
        <v/>
      </c>
      <c r="L10" s="12">
        <f>IF(J10="","",IF(J10&gt;1,(G10/1000)/(PI()*(D10/1000)^2/4),INDEX('Partial Flow'!$D$5:$D$104,MATCH(K10,'Partial Flow'!$A$5:$A$104,0))*I10))</f>
        <v/>
      </c>
      <c r="M10" s="18">
        <f>IF(J10="","",IF(J10&lt;=1,"OK","Over"))</f>
        <v/>
      </c>
      <c r="N10" s="18">
        <f>IF(L10="","",IF(L10&lt;'Pipe Check'!$B$10,"Low",IF(L10&gt;'Pipe Check'!$B$11,"High","OK")))</f>
        <v/>
      </c>
    </row>
    <row r="11">
      <c r="A11" s="17" t="n"/>
      <c r="B11" s="17" t="n"/>
      <c r="C11" s="17" t="n"/>
      <c r="D11" s="5" t="n"/>
      <c r="E11" s="6" t="n"/>
      <c r="F11" s="7" t="n"/>
      <c r="G11" s="8" t="n"/>
      <c r="H11" s="11">
        <f>IF(OR(D11="",E11="",F11=""),"",1000*(1/F11)*(PI()*(D11/1000)^2/4)*((D11/1000)/4)^(2/3)*SQRT(E11/100))</f>
        <v/>
      </c>
      <c r="I11" s="12">
        <f>IF(H11="","",(H11/1000)/(PI()*(D11/1000)^2/4))</f>
        <v/>
      </c>
      <c r="J11" s="12">
        <f>IF(OR(H11="",G11=""),"",G11/H11)</f>
        <v/>
      </c>
      <c r="K11" s="12">
        <f>IF(J11="","",IF(J11&gt;1,"Surch.",INDEX('Partial Flow'!$A$5:$A$97,IFERROR(MATCH(J11,'Partial Flow'!$C$5:$C$97,1),0)+IF(ISNA(MATCH(J11,'Partial Flow'!$C$5:$C$97,0)),1,0))))</f>
        <v/>
      </c>
      <c r="L11" s="12">
        <f>IF(J11="","",IF(J11&gt;1,(G11/1000)/(PI()*(D11/1000)^2/4),INDEX('Partial Flow'!$D$5:$D$104,MATCH(K11,'Partial Flow'!$A$5:$A$104,0))*I11))</f>
        <v/>
      </c>
      <c r="M11" s="18">
        <f>IF(J11="","",IF(J11&lt;=1,"OK","Over"))</f>
        <v/>
      </c>
      <c r="N11" s="18">
        <f>IF(L11="","",IF(L11&lt;'Pipe Check'!$B$10,"Low",IF(L11&gt;'Pipe Check'!$B$11,"High","OK")))</f>
        <v/>
      </c>
    </row>
    <row r="12">
      <c r="A12" s="17" t="n"/>
      <c r="B12" s="17" t="n"/>
      <c r="C12" s="17" t="n"/>
      <c r="D12" s="5" t="n"/>
      <c r="E12" s="6" t="n"/>
      <c r="F12" s="7" t="n"/>
      <c r="G12" s="8" t="n"/>
      <c r="H12" s="11">
        <f>IF(OR(D12="",E12="",F12=""),"",1000*(1/F12)*(PI()*(D12/1000)^2/4)*((D12/1000)/4)^(2/3)*SQRT(E12/100))</f>
        <v/>
      </c>
      <c r="I12" s="12">
        <f>IF(H12="","",(H12/1000)/(PI()*(D12/1000)^2/4))</f>
        <v/>
      </c>
      <c r="J12" s="12">
        <f>IF(OR(H12="",G12=""),"",G12/H12)</f>
        <v/>
      </c>
      <c r="K12" s="12">
        <f>IF(J12="","",IF(J12&gt;1,"Surch.",INDEX('Partial Flow'!$A$5:$A$97,IFERROR(MATCH(J12,'Partial Flow'!$C$5:$C$97,1),0)+IF(ISNA(MATCH(J12,'Partial Flow'!$C$5:$C$97,0)),1,0))))</f>
        <v/>
      </c>
      <c r="L12" s="12">
        <f>IF(J12="","",IF(J12&gt;1,(G12/1000)/(PI()*(D12/1000)^2/4),INDEX('Partial Flow'!$D$5:$D$104,MATCH(K12,'Partial Flow'!$A$5:$A$104,0))*I12))</f>
        <v/>
      </c>
      <c r="M12" s="18">
        <f>IF(J12="","",IF(J12&lt;=1,"OK","Over"))</f>
        <v/>
      </c>
      <c r="N12" s="18">
        <f>IF(L12="","",IF(L12&lt;'Pipe Check'!$B$10,"Low",IF(L12&gt;'Pipe Check'!$B$11,"High","OK")))</f>
        <v/>
      </c>
    </row>
    <row r="13">
      <c r="A13" s="17" t="n"/>
      <c r="B13" s="17" t="n"/>
      <c r="C13" s="17" t="n"/>
      <c r="D13" s="5" t="n"/>
      <c r="E13" s="6" t="n"/>
      <c r="F13" s="7" t="n"/>
      <c r="G13" s="8" t="n"/>
      <c r="H13" s="11">
        <f>IF(OR(D13="",E13="",F13=""),"",1000*(1/F13)*(PI()*(D13/1000)^2/4)*((D13/1000)/4)^(2/3)*SQRT(E13/100))</f>
        <v/>
      </c>
      <c r="I13" s="12">
        <f>IF(H13="","",(H13/1000)/(PI()*(D13/1000)^2/4))</f>
        <v/>
      </c>
      <c r="J13" s="12">
        <f>IF(OR(H13="",G13=""),"",G13/H13)</f>
        <v/>
      </c>
      <c r="K13" s="12">
        <f>IF(J13="","",IF(J13&gt;1,"Surch.",INDEX('Partial Flow'!$A$5:$A$97,IFERROR(MATCH(J13,'Partial Flow'!$C$5:$C$97,1),0)+IF(ISNA(MATCH(J13,'Partial Flow'!$C$5:$C$97,0)),1,0))))</f>
        <v/>
      </c>
      <c r="L13" s="12">
        <f>IF(J13="","",IF(J13&gt;1,(G13/1000)/(PI()*(D13/1000)^2/4),INDEX('Partial Flow'!$D$5:$D$104,MATCH(K13,'Partial Flow'!$A$5:$A$104,0))*I13))</f>
        <v/>
      </c>
      <c r="M13" s="18">
        <f>IF(J13="","",IF(J13&lt;=1,"OK","Over"))</f>
        <v/>
      </c>
      <c r="N13" s="18">
        <f>IF(L13="","",IF(L13&lt;'Pipe Check'!$B$10,"Low",IF(L13&gt;'Pipe Check'!$B$11,"High","OK")))</f>
        <v/>
      </c>
    </row>
    <row r="14">
      <c r="A14" s="17" t="n"/>
      <c r="B14" s="17" t="n"/>
      <c r="C14" s="17" t="n"/>
      <c r="D14" s="5" t="n"/>
      <c r="E14" s="6" t="n"/>
      <c r="F14" s="7" t="n"/>
      <c r="G14" s="8" t="n"/>
      <c r="H14" s="11">
        <f>IF(OR(D14="",E14="",F14=""),"",1000*(1/F14)*(PI()*(D14/1000)^2/4)*((D14/1000)/4)^(2/3)*SQRT(E14/100))</f>
        <v/>
      </c>
      <c r="I14" s="12">
        <f>IF(H14="","",(H14/1000)/(PI()*(D14/1000)^2/4))</f>
        <v/>
      </c>
      <c r="J14" s="12">
        <f>IF(OR(H14="",G14=""),"",G14/H14)</f>
        <v/>
      </c>
      <c r="K14" s="12">
        <f>IF(J14="","",IF(J14&gt;1,"Surch.",INDEX('Partial Flow'!$A$5:$A$97,IFERROR(MATCH(J14,'Partial Flow'!$C$5:$C$97,1),0)+IF(ISNA(MATCH(J14,'Partial Flow'!$C$5:$C$97,0)),1,0))))</f>
        <v/>
      </c>
      <c r="L14" s="12">
        <f>IF(J14="","",IF(J14&gt;1,(G14/1000)/(PI()*(D14/1000)^2/4),INDEX('Partial Flow'!$D$5:$D$104,MATCH(K14,'Partial Flow'!$A$5:$A$104,0))*I14))</f>
        <v/>
      </c>
      <c r="M14" s="18">
        <f>IF(J14="","",IF(J14&lt;=1,"OK","Over"))</f>
        <v/>
      </c>
      <c r="N14" s="18">
        <f>IF(L14="","",IF(L14&lt;'Pipe Check'!$B$10,"Low",IF(L14&gt;'Pipe Check'!$B$11,"High","OK")))</f>
        <v/>
      </c>
    </row>
    <row r="15">
      <c r="A15" s="17" t="n"/>
      <c r="B15" s="17" t="n"/>
      <c r="C15" s="17" t="n"/>
      <c r="D15" s="5" t="n"/>
      <c r="E15" s="6" t="n"/>
      <c r="F15" s="7" t="n"/>
      <c r="G15" s="8" t="n"/>
      <c r="H15" s="11">
        <f>IF(OR(D15="",E15="",F15=""),"",1000*(1/F15)*(PI()*(D15/1000)^2/4)*((D15/1000)/4)^(2/3)*SQRT(E15/100))</f>
        <v/>
      </c>
      <c r="I15" s="12">
        <f>IF(H15="","",(H15/1000)/(PI()*(D15/1000)^2/4))</f>
        <v/>
      </c>
      <c r="J15" s="12">
        <f>IF(OR(H15="",G15=""),"",G15/H15)</f>
        <v/>
      </c>
      <c r="K15" s="12">
        <f>IF(J15="","",IF(J15&gt;1,"Surch.",INDEX('Partial Flow'!$A$5:$A$97,IFERROR(MATCH(J15,'Partial Flow'!$C$5:$C$97,1),0)+IF(ISNA(MATCH(J15,'Partial Flow'!$C$5:$C$97,0)),1,0))))</f>
        <v/>
      </c>
      <c r="L15" s="12">
        <f>IF(J15="","",IF(J15&gt;1,(G15/1000)/(PI()*(D15/1000)^2/4),INDEX('Partial Flow'!$D$5:$D$104,MATCH(K15,'Partial Flow'!$A$5:$A$104,0))*I15))</f>
        <v/>
      </c>
      <c r="M15" s="18">
        <f>IF(J15="","",IF(J15&lt;=1,"OK","Over"))</f>
        <v/>
      </c>
      <c r="N15" s="18">
        <f>IF(L15="","",IF(L15&lt;'Pipe Check'!$B$10,"Low",IF(L15&gt;'Pipe Check'!$B$11,"High","OK")))</f>
        <v/>
      </c>
    </row>
    <row r="16">
      <c r="A16" s="17" t="n"/>
      <c r="B16" s="17" t="n"/>
      <c r="C16" s="17" t="n"/>
      <c r="D16" s="5" t="n"/>
      <c r="E16" s="6" t="n"/>
      <c r="F16" s="7" t="n"/>
      <c r="G16" s="8" t="n"/>
      <c r="H16" s="11">
        <f>IF(OR(D16="",E16="",F16=""),"",1000*(1/F16)*(PI()*(D16/1000)^2/4)*((D16/1000)/4)^(2/3)*SQRT(E16/100))</f>
        <v/>
      </c>
      <c r="I16" s="12">
        <f>IF(H16="","",(H16/1000)/(PI()*(D16/1000)^2/4))</f>
        <v/>
      </c>
      <c r="J16" s="12">
        <f>IF(OR(H16="",G16=""),"",G16/H16)</f>
        <v/>
      </c>
      <c r="K16" s="12">
        <f>IF(J16="","",IF(J16&gt;1,"Surch.",INDEX('Partial Flow'!$A$5:$A$97,IFERROR(MATCH(J16,'Partial Flow'!$C$5:$C$97,1),0)+IF(ISNA(MATCH(J16,'Partial Flow'!$C$5:$C$97,0)),1,0))))</f>
        <v/>
      </c>
      <c r="L16" s="12">
        <f>IF(J16="","",IF(J16&gt;1,(G16/1000)/(PI()*(D16/1000)^2/4),INDEX('Partial Flow'!$D$5:$D$104,MATCH(K16,'Partial Flow'!$A$5:$A$104,0))*I16))</f>
        <v/>
      </c>
      <c r="M16" s="18">
        <f>IF(J16="","",IF(J16&lt;=1,"OK","Over"))</f>
        <v/>
      </c>
      <c r="N16" s="18">
        <f>IF(L16="","",IF(L16&lt;'Pipe Check'!$B$10,"Low",IF(L16&gt;'Pipe Check'!$B$11,"High","OK")))</f>
        <v/>
      </c>
    </row>
    <row r="17">
      <c r="A17" s="17" t="n"/>
      <c r="B17" s="17" t="n"/>
      <c r="C17" s="17" t="n"/>
      <c r="D17" s="5" t="n"/>
      <c r="E17" s="6" t="n"/>
      <c r="F17" s="7" t="n"/>
      <c r="G17" s="8" t="n"/>
      <c r="H17" s="11">
        <f>IF(OR(D17="",E17="",F17=""),"",1000*(1/F17)*(PI()*(D17/1000)^2/4)*((D17/1000)/4)^(2/3)*SQRT(E17/100))</f>
        <v/>
      </c>
      <c r="I17" s="12">
        <f>IF(H17="","",(H17/1000)/(PI()*(D17/1000)^2/4))</f>
        <v/>
      </c>
      <c r="J17" s="12">
        <f>IF(OR(H17="",G17=""),"",G17/H17)</f>
        <v/>
      </c>
      <c r="K17" s="12">
        <f>IF(J17="","",IF(J17&gt;1,"Surch.",INDEX('Partial Flow'!$A$5:$A$97,IFERROR(MATCH(J17,'Partial Flow'!$C$5:$C$97,1),0)+IF(ISNA(MATCH(J17,'Partial Flow'!$C$5:$C$97,0)),1,0))))</f>
        <v/>
      </c>
      <c r="L17" s="12">
        <f>IF(J17="","",IF(J17&gt;1,(G17/1000)/(PI()*(D17/1000)^2/4),INDEX('Partial Flow'!$D$5:$D$104,MATCH(K17,'Partial Flow'!$A$5:$A$104,0))*I17))</f>
        <v/>
      </c>
      <c r="M17" s="18">
        <f>IF(J17="","",IF(J17&lt;=1,"OK","Over"))</f>
        <v/>
      </c>
      <c r="N17" s="18">
        <f>IF(L17="","",IF(L17&lt;'Pipe Check'!$B$10,"Low",IF(L17&gt;'Pipe Check'!$B$11,"High","OK")))</f>
        <v/>
      </c>
    </row>
    <row r="18">
      <c r="A18" s="17" t="n"/>
      <c r="B18" s="17" t="n"/>
      <c r="C18" s="17" t="n"/>
      <c r="D18" s="5" t="n"/>
      <c r="E18" s="6" t="n"/>
      <c r="F18" s="7" t="n"/>
      <c r="G18" s="8" t="n"/>
      <c r="H18" s="11">
        <f>IF(OR(D18="",E18="",F18=""),"",1000*(1/F18)*(PI()*(D18/1000)^2/4)*((D18/1000)/4)^(2/3)*SQRT(E18/100))</f>
        <v/>
      </c>
      <c r="I18" s="12">
        <f>IF(H18="","",(H18/1000)/(PI()*(D18/1000)^2/4))</f>
        <v/>
      </c>
      <c r="J18" s="12">
        <f>IF(OR(H18="",G18=""),"",G18/H18)</f>
        <v/>
      </c>
      <c r="K18" s="12">
        <f>IF(J18="","",IF(J18&gt;1,"Surch.",INDEX('Partial Flow'!$A$5:$A$97,IFERROR(MATCH(J18,'Partial Flow'!$C$5:$C$97,1),0)+IF(ISNA(MATCH(J18,'Partial Flow'!$C$5:$C$97,0)),1,0))))</f>
        <v/>
      </c>
      <c r="L18" s="12">
        <f>IF(J18="","",IF(J18&gt;1,(G18/1000)/(PI()*(D18/1000)^2/4),INDEX('Partial Flow'!$D$5:$D$104,MATCH(K18,'Partial Flow'!$A$5:$A$104,0))*I18))</f>
        <v/>
      </c>
      <c r="M18" s="18">
        <f>IF(J18="","",IF(J18&lt;=1,"OK","Over"))</f>
        <v/>
      </c>
      <c r="N18" s="18">
        <f>IF(L18="","",IF(L18&lt;'Pipe Check'!$B$10,"Low",IF(L18&gt;'Pipe Check'!$B$11,"High","OK")))</f>
        <v/>
      </c>
    </row>
    <row r="19">
      <c r="A19" s="17" t="n"/>
      <c r="B19" s="17" t="n"/>
      <c r="C19" s="17" t="n"/>
      <c r="D19" s="5" t="n"/>
      <c r="E19" s="6" t="n"/>
      <c r="F19" s="7" t="n"/>
      <c r="G19" s="8" t="n"/>
      <c r="H19" s="11">
        <f>IF(OR(D19="",E19="",F19=""),"",1000*(1/F19)*(PI()*(D19/1000)^2/4)*((D19/1000)/4)^(2/3)*SQRT(E19/100))</f>
        <v/>
      </c>
      <c r="I19" s="12">
        <f>IF(H19="","",(H19/1000)/(PI()*(D19/1000)^2/4))</f>
        <v/>
      </c>
      <c r="J19" s="12">
        <f>IF(OR(H19="",G19=""),"",G19/H19)</f>
        <v/>
      </c>
      <c r="K19" s="12">
        <f>IF(J19="","",IF(J19&gt;1,"Surch.",INDEX('Partial Flow'!$A$5:$A$97,IFERROR(MATCH(J19,'Partial Flow'!$C$5:$C$97,1),0)+IF(ISNA(MATCH(J19,'Partial Flow'!$C$5:$C$97,0)),1,0))))</f>
        <v/>
      </c>
      <c r="L19" s="12">
        <f>IF(J19="","",IF(J19&gt;1,(G19/1000)/(PI()*(D19/1000)^2/4),INDEX('Partial Flow'!$D$5:$D$104,MATCH(K19,'Partial Flow'!$A$5:$A$104,0))*I19))</f>
        <v/>
      </c>
      <c r="M19" s="18">
        <f>IF(J19="","",IF(J19&lt;=1,"OK","Over"))</f>
        <v/>
      </c>
      <c r="N19" s="18">
        <f>IF(L19="","",IF(L19&lt;'Pipe Check'!$B$10,"Low",IF(L19&gt;'Pipe Check'!$B$11,"High","OK")))</f>
        <v/>
      </c>
    </row>
    <row r="20">
      <c r="A20" s="17" t="n"/>
      <c r="B20" s="17" t="n"/>
      <c r="C20" s="17" t="n"/>
      <c r="D20" s="5" t="n"/>
      <c r="E20" s="6" t="n"/>
      <c r="F20" s="7" t="n"/>
      <c r="G20" s="8" t="n"/>
      <c r="H20" s="11">
        <f>IF(OR(D20="",E20="",F20=""),"",1000*(1/F20)*(PI()*(D20/1000)^2/4)*((D20/1000)/4)^(2/3)*SQRT(E20/100))</f>
        <v/>
      </c>
      <c r="I20" s="12">
        <f>IF(H20="","",(H20/1000)/(PI()*(D20/1000)^2/4))</f>
        <v/>
      </c>
      <c r="J20" s="12">
        <f>IF(OR(H20="",G20=""),"",G20/H20)</f>
        <v/>
      </c>
      <c r="K20" s="12">
        <f>IF(J20="","",IF(J20&gt;1,"Surch.",INDEX('Partial Flow'!$A$5:$A$97,IFERROR(MATCH(J20,'Partial Flow'!$C$5:$C$97,1),0)+IF(ISNA(MATCH(J20,'Partial Flow'!$C$5:$C$97,0)),1,0))))</f>
        <v/>
      </c>
      <c r="L20" s="12">
        <f>IF(J20="","",IF(J20&gt;1,(G20/1000)/(PI()*(D20/1000)^2/4),INDEX('Partial Flow'!$D$5:$D$104,MATCH(K20,'Partial Flow'!$A$5:$A$104,0))*I20))</f>
        <v/>
      </c>
      <c r="M20" s="18">
        <f>IF(J20="","",IF(J20&lt;=1,"OK","Over"))</f>
        <v/>
      </c>
      <c r="N20" s="18">
        <f>IF(L20="","",IF(L20&lt;'Pipe Check'!$B$10,"Low",IF(L20&gt;'Pipe Check'!$B$11,"High","OK")))</f>
        <v/>
      </c>
    </row>
    <row r="21">
      <c r="A21" s="17" t="n"/>
      <c r="B21" s="17" t="n"/>
      <c r="C21" s="17" t="n"/>
      <c r="D21" s="5" t="n"/>
      <c r="E21" s="6" t="n"/>
      <c r="F21" s="7" t="n"/>
      <c r="G21" s="8" t="n"/>
      <c r="H21" s="11">
        <f>IF(OR(D21="",E21="",F21=""),"",1000*(1/F21)*(PI()*(D21/1000)^2/4)*((D21/1000)/4)^(2/3)*SQRT(E21/100))</f>
        <v/>
      </c>
      <c r="I21" s="12">
        <f>IF(H21="","",(H21/1000)/(PI()*(D21/1000)^2/4))</f>
        <v/>
      </c>
      <c r="J21" s="12">
        <f>IF(OR(H21="",G21=""),"",G21/H21)</f>
        <v/>
      </c>
      <c r="K21" s="12">
        <f>IF(J21="","",IF(J21&gt;1,"Surch.",INDEX('Partial Flow'!$A$5:$A$97,IFERROR(MATCH(J21,'Partial Flow'!$C$5:$C$97,1),0)+IF(ISNA(MATCH(J21,'Partial Flow'!$C$5:$C$97,0)),1,0))))</f>
        <v/>
      </c>
      <c r="L21" s="12">
        <f>IF(J21="","",IF(J21&gt;1,(G21/1000)/(PI()*(D21/1000)^2/4),INDEX('Partial Flow'!$D$5:$D$104,MATCH(K21,'Partial Flow'!$A$5:$A$104,0))*I21))</f>
        <v/>
      </c>
      <c r="M21" s="18">
        <f>IF(J21="","",IF(J21&lt;=1,"OK","Over"))</f>
        <v/>
      </c>
      <c r="N21" s="18">
        <f>IF(L21="","",IF(L21&lt;'Pipe Check'!$B$10,"Low",IF(L21&gt;'Pipe Check'!$B$11,"High","OK")))</f>
        <v/>
      </c>
    </row>
    <row r="22">
      <c r="A22" s="17" t="n"/>
      <c r="B22" s="17" t="n"/>
      <c r="C22" s="17" t="n"/>
      <c r="D22" s="5" t="n"/>
      <c r="E22" s="6" t="n"/>
      <c r="F22" s="7" t="n"/>
      <c r="G22" s="8" t="n"/>
      <c r="H22" s="11">
        <f>IF(OR(D22="",E22="",F22=""),"",1000*(1/F22)*(PI()*(D22/1000)^2/4)*((D22/1000)/4)^(2/3)*SQRT(E22/100))</f>
        <v/>
      </c>
      <c r="I22" s="12">
        <f>IF(H22="","",(H22/1000)/(PI()*(D22/1000)^2/4))</f>
        <v/>
      </c>
      <c r="J22" s="12">
        <f>IF(OR(H22="",G22=""),"",G22/H22)</f>
        <v/>
      </c>
      <c r="K22" s="12">
        <f>IF(J22="","",IF(J22&gt;1,"Surch.",INDEX('Partial Flow'!$A$5:$A$97,IFERROR(MATCH(J22,'Partial Flow'!$C$5:$C$97,1),0)+IF(ISNA(MATCH(J22,'Partial Flow'!$C$5:$C$97,0)),1,0))))</f>
        <v/>
      </c>
      <c r="L22" s="12">
        <f>IF(J22="","",IF(J22&gt;1,(G22/1000)/(PI()*(D22/1000)^2/4),INDEX('Partial Flow'!$D$5:$D$104,MATCH(K22,'Partial Flow'!$A$5:$A$104,0))*I22))</f>
        <v/>
      </c>
      <c r="M22" s="18">
        <f>IF(J22="","",IF(J22&lt;=1,"OK","Over"))</f>
        <v/>
      </c>
      <c r="N22" s="18">
        <f>IF(L22="","",IF(L22&lt;'Pipe Check'!$B$10,"Low",IF(L22&gt;'Pipe Check'!$B$11,"High","OK")))</f>
        <v/>
      </c>
    </row>
    <row r="23">
      <c r="A23" s="17" t="n"/>
      <c r="B23" s="17" t="n"/>
      <c r="C23" s="17" t="n"/>
      <c r="D23" s="5" t="n"/>
      <c r="E23" s="6" t="n"/>
      <c r="F23" s="7" t="n"/>
      <c r="G23" s="8" t="n"/>
      <c r="H23" s="11">
        <f>IF(OR(D23="",E23="",F23=""),"",1000*(1/F23)*(PI()*(D23/1000)^2/4)*((D23/1000)/4)^(2/3)*SQRT(E23/100))</f>
        <v/>
      </c>
      <c r="I23" s="12">
        <f>IF(H23="","",(H23/1000)/(PI()*(D23/1000)^2/4))</f>
        <v/>
      </c>
      <c r="J23" s="12">
        <f>IF(OR(H23="",G23=""),"",G23/H23)</f>
        <v/>
      </c>
      <c r="K23" s="12">
        <f>IF(J23="","",IF(J23&gt;1,"Surch.",INDEX('Partial Flow'!$A$5:$A$97,IFERROR(MATCH(J23,'Partial Flow'!$C$5:$C$97,1),0)+IF(ISNA(MATCH(J23,'Partial Flow'!$C$5:$C$97,0)),1,0))))</f>
        <v/>
      </c>
      <c r="L23" s="12">
        <f>IF(J23="","",IF(J23&gt;1,(G23/1000)/(PI()*(D23/1000)^2/4),INDEX('Partial Flow'!$D$5:$D$104,MATCH(K23,'Partial Flow'!$A$5:$A$104,0))*I23))</f>
        <v/>
      </c>
      <c r="M23" s="18">
        <f>IF(J23="","",IF(J23&lt;=1,"OK","Over"))</f>
        <v/>
      </c>
      <c r="N23" s="18">
        <f>IF(L23="","",IF(L23&lt;'Pipe Check'!$B$10,"Low",IF(L23&gt;'Pipe Check'!$B$11,"High","OK")))</f>
        <v/>
      </c>
    </row>
    <row r="24">
      <c r="A24" s="17" t="n"/>
      <c r="B24" s="17" t="n"/>
      <c r="C24" s="17" t="n"/>
      <c r="D24" s="5" t="n"/>
      <c r="E24" s="6" t="n"/>
      <c r="F24" s="7" t="n"/>
      <c r="G24" s="8" t="n"/>
      <c r="H24" s="11">
        <f>IF(OR(D24="",E24="",F24=""),"",1000*(1/F24)*(PI()*(D24/1000)^2/4)*((D24/1000)/4)^(2/3)*SQRT(E24/100))</f>
        <v/>
      </c>
      <c r="I24" s="12">
        <f>IF(H24="","",(H24/1000)/(PI()*(D24/1000)^2/4))</f>
        <v/>
      </c>
      <c r="J24" s="12">
        <f>IF(OR(H24="",G24=""),"",G24/H24)</f>
        <v/>
      </c>
      <c r="K24" s="12">
        <f>IF(J24="","",IF(J24&gt;1,"Surch.",INDEX('Partial Flow'!$A$5:$A$97,IFERROR(MATCH(J24,'Partial Flow'!$C$5:$C$97,1),0)+IF(ISNA(MATCH(J24,'Partial Flow'!$C$5:$C$97,0)),1,0))))</f>
        <v/>
      </c>
      <c r="L24" s="12">
        <f>IF(J24="","",IF(J24&gt;1,(G24/1000)/(PI()*(D24/1000)^2/4),INDEX('Partial Flow'!$D$5:$D$104,MATCH(K24,'Partial Flow'!$A$5:$A$104,0))*I24))</f>
        <v/>
      </c>
      <c r="M24" s="18">
        <f>IF(J24="","",IF(J24&lt;=1,"OK","Over"))</f>
        <v/>
      </c>
      <c r="N24" s="18">
        <f>IF(L24="","",IF(L24&lt;'Pipe Check'!$B$10,"Low",IF(L24&gt;'Pipe Check'!$B$11,"High","OK")))</f>
        <v/>
      </c>
    </row>
    <row r="25">
      <c r="A25" s="17" t="n"/>
      <c r="B25" s="17" t="n"/>
      <c r="C25" s="17" t="n"/>
      <c r="D25" s="5" t="n"/>
      <c r="E25" s="6" t="n"/>
      <c r="F25" s="7" t="n"/>
      <c r="G25" s="8" t="n"/>
      <c r="H25" s="11">
        <f>IF(OR(D25="",E25="",F25=""),"",1000*(1/F25)*(PI()*(D25/1000)^2/4)*((D25/1000)/4)^(2/3)*SQRT(E25/100))</f>
        <v/>
      </c>
      <c r="I25" s="12">
        <f>IF(H25="","",(H25/1000)/(PI()*(D25/1000)^2/4))</f>
        <v/>
      </c>
      <c r="J25" s="12">
        <f>IF(OR(H25="",G25=""),"",G25/H25)</f>
        <v/>
      </c>
      <c r="K25" s="12">
        <f>IF(J25="","",IF(J25&gt;1,"Surch.",INDEX('Partial Flow'!$A$5:$A$97,IFERROR(MATCH(J25,'Partial Flow'!$C$5:$C$97,1),0)+IF(ISNA(MATCH(J25,'Partial Flow'!$C$5:$C$97,0)),1,0))))</f>
        <v/>
      </c>
      <c r="L25" s="12">
        <f>IF(J25="","",IF(J25&gt;1,(G25/1000)/(PI()*(D25/1000)^2/4),INDEX('Partial Flow'!$D$5:$D$104,MATCH(K25,'Partial Flow'!$A$5:$A$104,0))*I25))</f>
        <v/>
      </c>
      <c r="M25" s="18">
        <f>IF(J25="","",IF(J25&lt;=1,"OK","Over"))</f>
        <v/>
      </c>
      <c r="N25" s="18">
        <f>IF(L25="","",IF(L25&lt;'Pipe Check'!$B$10,"Low",IF(L25&gt;'Pipe Check'!$B$11,"High","OK")))</f>
        <v/>
      </c>
    </row>
    <row r="26">
      <c r="A26" s="17" t="n"/>
      <c r="B26" s="17" t="n"/>
      <c r="C26" s="17" t="n"/>
      <c r="D26" s="5" t="n"/>
      <c r="E26" s="6" t="n"/>
      <c r="F26" s="7" t="n"/>
      <c r="G26" s="8" t="n"/>
      <c r="H26" s="11">
        <f>IF(OR(D26="",E26="",F26=""),"",1000*(1/F26)*(PI()*(D26/1000)^2/4)*((D26/1000)/4)^(2/3)*SQRT(E26/100))</f>
        <v/>
      </c>
      <c r="I26" s="12">
        <f>IF(H26="","",(H26/1000)/(PI()*(D26/1000)^2/4))</f>
        <v/>
      </c>
      <c r="J26" s="12">
        <f>IF(OR(H26="",G26=""),"",G26/H26)</f>
        <v/>
      </c>
      <c r="K26" s="12">
        <f>IF(J26="","",IF(J26&gt;1,"Surch.",INDEX('Partial Flow'!$A$5:$A$97,IFERROR(MATCH(J26,'Partial Flow'!$C$5:$C$97,1),0)+IF(ISNA(MATCH(J26,'Partial Flow'!$C$5:$C$97,0)),1,0))))</f>
        <v/>
      </c>
      <c r="L26" s="12">
        <f>IF(J26="","",IF(J26&gt;1,(G26/1000)/(PI()*(D26/1000)^2/4),INDEX('Partial Flow'!$D$5:$D$104,MATCH(K26,'Partial Flow'!$A$5:$A$104,0))*I26))</f>
        <v/>
      </c>
      <c r="M26" s="18">
        <f>IF(J26="","",IF(J26&lt;=1,"OK","Over"))</f>
        <v/>
      </c>
      <c r="N26" s="18">
        <f>IF(L26="","",IF(L26&lt;'Pipe Check'!$B$10,"Low",IF(L26&gt;'Pipe Check'!$B$11,"High","OK")))</f>
        <v/>
      </c>
    </row>
    <row r="27">
      <c r="A27" s="17" t="n"/>
      <c r="B27" s="17" t="n"/>
      <c r="C27" s="17" t="n"/>
      <c r="D27" s="5" t="n"/>
      <c r="E27" s="6" t="n"/>
      <c r="F27" s="7" t="n"/>
      <c r="G27" s="8" t="n"/>
      <c r="H27" s="11">
        <f>IF(OR(D27="",E27="",F27=""),"",1000*(1/F27)*(PI()*(D27/1000)^2/4)*((D27/1000)/4)^(2/3)*SQRT(E27/100))</f>
        <v/>
      </c>
      <c r="I27" s="12">
        <f>IF(H27="","",(H27/1000)/(PI()*(D27/1000)^2/4))</f>
        <v/>
      </c>
      <c r="J27" s="12">
        <f>IF(OR(H27="",G27=""),"",G27/H27)</f>
        <v/>
      </c>
      <c r="K27" s="12">
        <f>IF(J27="","",IF(J27&gt;1,"Surch.",INDEX('Partial Flow'!$A$5:$A$97,IFERROR(MATCH(J27,'Partial Flow'!$C$5:$C$97,1),0)+IF(ISNA(MATCH(J27,'Partial Flow'!$C$5:$C$97,0)),1,0))))</f>
        <v/>
      </c>
      <c r="L27" s="12">
        <f>IF(J27="","",IF(J27&gt;1,(G27/1000)/(PI()*(D27/1000)^2/4),INDEX('Partial Flow'!$D$5:$D$104,MATCH(K27,'Partial Flow'!$A$5:$A$104,0))*I27))</f>
        <v/>
      </c>
      <c r="M27" s="18">
        <f>IF(J27="","",IF(J27&lt;=1,"OK","Over"))</f>
        <v/>
      </c>
      <c r="N27" s="18">
        <f>IF(L27="","",IF(L27&lt;'Pipe Check'!$B$10,"Low",IF(L27&gt;'Pipe Check'!$B$11,"High","OK")))</f>
        <v/>
      </c>
    </row>
    <row r="28">
      <c r="A28" s="17" t="n"/>
      <c r="B28" s="17" t="n"/>
      <c r="C28" s="17" t="n"/>
      <c r="D28" s="5" t="n"/>
      <c r="E28" s="6" t="n"/>
      <c r="F28" s="7" t="n"/>
      <c r="G28" s="8" t="n"/>
      <c r="H28" s="11">
        <f>IF(OR(D28="",E28="",F28=""),"",1000*(1/F28)*(PI()*(D28/1000)^2/4)*((D28/1000)/4)^(2/3)*SQRT(E28/100))</f>
        <v/>
      </c>
      <c r="I28" s="12">
        <f>IF(H28="","",(H28/1000)/(PI()*(D28/1000)^2/4))</f>
        <v/>
      </c>
      <c r="J28" s="12">
        <f>IF(OR(H28="",G28=""),"",G28/H28)</f>
        <v/>
      </c>
      <c r="K28" s="12">
        <f>IF(J28="","",IF(J28&gt;1,"Surch.",INDEX('Partial Flow'!$A$5:$A$97,IFERROR(MATCH(J28,'Partial Flow'!$C$5:$C$97,1),0)+IF(ISNA(MATCH(J28,'Partial Flow'!$C$5:$C$97,0)),1,0))))</f>
        <v/>
      </c>
      <c r="L28" s="12">
        <f>IF(J28="","",IF(J28&gt;1,(G28/1000)/(PI()*(D28/1000)^2/4),INDEX('Partial Flow'!$D$5:$D$104,MATCH(K28,'Partial Flow'!$A$5:$A$104,0))*I28))</f>
        <v/>
      </c>
      <c r="M28" s="18">
        <f>IF(J28="","",IF(J28&lt;=1,"OK","Over"))</f>
        <v/>
      </c>
      <c r="N28" s="18">
        <f>IF(L28="","",IF(L28&lt;'Pipe Check'!$B$10,"Low",IF(L28&gt;'Pipe Check'!$B$11,"High","OK")))</f>
        <v/>
      </c>
    </row>
    <row r="29">
      <c r="A29" s="17" t="n"/>
      <c r="B29" s="17" t="n"/>
      <c r="C29" s="17" t="n"/>
      <c r="D29" s="5" t="n"/>
      <c r="E29" s="6" t="n"/>
      <c r="F29" s="7" t="n"/>
      <c r="G29" s="8" t="n"/>
      <c r="H29" s="11">
        <f>IF(OR(D29="",E29="",F29=""),"",1000*(1/F29)*(PI()*(D29/1000)^2/4)*((D29/1000)/4)^(2/3)*SQRT(E29/100))</f>
        <v/>
      </c>
      <c r="I29" s="12">
        <f>IF(H29="","",(H29/1000)/(PI()*(D29/1000)^2/4))</f>
        <v/>
      </c>
      <c r="J29" s="12">
        <f>IF(OR(H29="",G29=""),"",G29/H29)</f>
        <v/>
      </c>
      <c r="K29" s="12">
        <f>IF(J29="","",IF(J29&gt;1,"Surch.",INDEX('Partial Flow'!$A$5:$A$97,IFERROR(MATCH(J29,'Partial Flow'!$C$5:$C$97,1),0)+IF(ISNA(MATCH(J29,'Partial Flow'!$C$5:$C$97,0)),1,0))))</f>
        <v/>
      </c>
      <c r="L29" s="12">
        <f>IF(J29="","",IF(J29&gt;1,(G29/1000)/(PI()*(D29/1000)^2/4),INDEX('Partial Flow'!$D$5:$D$104,MATCH(K29,'Partial Flow'!$A$5:$A$104,0))*I29))</f>
        <v/>
      </c>
      <c r="M29" s="18">
        <f>IF(J29="","",IF(J29&lt;=1,"OK","Over"))</f>
        <v/>
      </c>
      <c r="N29" s="18">
        <f>IF(L29="","",IF(L29&lt;'Pipe Check'!$B$10,"Low",IF(L29&gt;'Pipe Check'!$B$11,"High","OK")))</f>
        <v/>
      </c>
    </row>
    <row r="30">
      <c r="A30" s="17" t="n"/>
      <c r="B30" s="17" t="n"/>
      <c r="C30" s="17" t="n"/>
      <c r="D30" s="5" t="n"/>
      <c r="E30" s="6" t="n"/>
      <c r="F30" s="7" t="n"/>
      <c r="G30" s="8" t="n"/>
      <c r="H30" s="11">
        <f>IF(OR(D30="",E30="",F30=""),"",1000*(1/F30)*(PI()*(D30/1000)^2/4)*((D30/1000)/4)^(2/3)*SQRT(E30/100))</f>
        <v/>
      </c>
      <c r="I30" s="12">
        <f>IF(H30="","",(H30/1000)/(PI()*(D30/1000)^2/4))</f>
        <v/>
      </c>
      <c r="J30" s="12">
        <f>IF(OR(H30="",G30=""),"",G30/H30)</f>
        <v/>
      </c>
      <c r="K30" s="12">
        <f>IF(J30="","",IF(J30&gt;1,"Surch.",INDEX('Partial Flow'!$A$5:$A$97,IFERROR(MATCH(J30,'Partial Flow'!$C$5:$C$97,1),0)+IF(ISNA(MATCH(J30,'Partial Flow'!$C$5:$C$97,0)),1,0))))</f>
        <v/>
      </c>
      <c r="L30" s="12">
        <f>IF(J30="","",IF(J30&gt;1,(G30/1000)/(PI()*(D30/1000)^2/4),INDEX('Partial Flow'!$D$5:$D$104,MATCH(K30,'Partial Flow'!$A$5:$A$104,0))*I30))</f>
        <v/>
      </c>
      <c r="M30" s="18">
        <f>IF(J30="","",IF(J30&lt;=1,"OK","Over"))</f>
        <v/>
      </c>
      <c r="N30" s="18">
        <f>IF(L30="","",IF(L30&lt;'Pipe Check'!$B$10,"Low",IF(L30&gt;'Pipe Check'!$B$11,"High","OK")))</f>
        <v/>
      </c>
    </row>
    <row r="31">
      <c r="A31" s="17" t="n"/>
      <c r="B31" s="17" t="n"/>
      <c r="C31" s="17" t="n"/>
      <c r="D31" s="5" t="n"/>
      <c r="E31" s="6" t="n"/>
      <c r="F31" s="7" t="n"/>
      <c r="G31" s="8" t="n"/>
      <c r="H31" s="11">
        <f>IF(OR(D31="",E31="",F31=""),"",1000*(1/F31)*(PI()*(D31/1000)^2/4)*((D31/1000)/4)^(2/3)*SQRT(E31/100))</f>
        <v/>
      </c>
      <c r="I31" s="12">
        <f>IF(H31="","",(H31/1000)/(PI()*(D31/1000)^2/4))</f>
        <v/>
      </c>
      <c r="J31" s="12">
        <f>IF(OR(H31="",G31=""),"",G31/H31)</f>
        <v/>
      </c>
      <c r="K31" s="12">
        <f>IF(J31="","",IF(J31&gt;1,"Surch.",INDEX('Partial Flow'!$A$5:$A$97,IFERROR(MATCH(J31,'Partial Flow'!$C$5:$C$97,1),0)+IF(ISNA(MATCH(J31,'Partial Flow'!$C$5:$C$97,0)),1,0))))</f>
        <v/>
      </c>
      <c r="L31" s="12">
        <f>IF(J31="","",IF(J31&gt;1,(G31/1000)/(PI()*(D31/1000)^2/4),INDEX('Partial Flow'!$D$5:$D$104,MATCH(K31,'Partial Flow'!$A$5:$A$104,0))*I31))</f>
        <v/>
      </c>
      <c r="M31" s="18">
        <f>IF(J31="","",IF(J31&lt;=1,"OK","Over"))</f>
        <v/>
      </c>
      <c r="N31" s="18">
        <f>IF(L31="","",IF(L31&lt;'Pipe Check'!$B$10,"Low",IF(L31&gt;'Pipe Check'!$B$11,"High","OK")))</f>
        <v/>
      </c>
    </row>
    <row r="32">
      <c r="A32" s="17" t="n"/>
      <c r="B32" s="17" t="n"/>
      <c r="C32" s="17" t="n"/>
      <c r="D32" s="5" t="n"/>
      <c r="E32" s="6" t="n"/>
      <c r="F32" s="7" t="n"/>
      <c r="G32" s="8" t="n"/>
      <c r="H32" s="11">
        <f>IF(OR(D32="",E32="",F32=""),"",1000*(1/F32)*(PI()*(D32/1000)^2/4)*((D32/1000)/4)^(2/3)*SQRT(E32/100))</f>
        <v/>
      </c>
      <c r="I32" s="12">
        <f>IF(H32="","",(H32/1000)/(PI()*(D32/1000)^2/4))</f>
        <v/>
      </c>
      <c r="J32" s="12">
        <f>IF(OR(H32="",G32=""),"",G32/H32)</f>
        <v/>
      </c>
      <c r="K32" s="12">
        <f>IF(J32="","",IF(J32&gt;1,"Surch.",INDEX('Partial Flow'!$A$5:$A$97,IFERROR(MATCH(J32,'Partial Flow'!$C$5:$C$97,1),0)+IF(ISNA(MATCH(J32,'Partial Flow'!$C$5:$C$97,0)),1,0))))</f>
        <v/>
      </c>
      <c r="L32" s="12">
        <f>IF(J32="","",IF(J32&gt;1,(G32/1000)/(PI()*(D32/1000)^2/4),INDEX('Partial Flow'!$D$5:$D$104,MATCH(K32,'Partial Flow'!$A$5:$A$104,0))*I32))</f>
        <v/>
      </c>
      <c r="M32" s="18">
        <f>IF(J32="","",IF(J32&lt;=1,"OK","Over"))</f>
        <v/>
      </c>
      <c r="N32" s="18">
        <f>IF(L32="","",IF(L32&lt;'Pipe Check'!$B$10,"Low",IF(L32&gt;'Pipe Check'!$B$11,"High","OK")))</f>
        <v/>
      </c>
    </row>
    <row r="33">
      <c r="A33" s="17" t="n"/>
      <c r="B33" s="17" t="n"/>
      <c r="C33" s="17" t="n"/>
      <c r="D33" s="5" t="n"/>
      <c r="E33" s="6" t="n"/>
      <c r="F33" s="7" t="n"/>
      <c r="G33" s="8" t="n"/>
      <c r="H33" s="11">
        <f>IF(OR(D33="",E33="",F33=""),"",1000*(1/F33)*(PI()*(D33/1000)^2/4)*((D33/1000)/4)^(2/3)*SQRT(E33/100))</f>
        <v/>
      </c>
      <c r="I33" s="12">
        <f>IF(H33="","",(H33/1000)/(PI()*(D33/1000)^2/4))</f>
        <v/>
      </c>
      <c r="J33" s="12">
        <f>IF(OR(H33="",G33=""),"",G33/H33)</f>
        <v/>
      </c>
      <c r="K33" s="12">
        <f>IF(J33="","",IF(J33&gt;1,"Surch.",INDEX('Partial Flow'!$A$5:$A$97,IFERROR(MATCH(J33,'Partial Flow'!$C$5:$C$97,1),0)+IF(ISNA(MATCH(J33,'Partial Flow'!$C$5:$C$97,0)),1,0))))</f>
        <v/>
      </c>
      <c r="L33" s="12">
        <f>IF(J33="","",IF(J33&gt;1,(G33/1000)/(PI()*(D33/1000)^2/4),INDEX('Partial Flow'!$D$5:$D$104,MATCH(K33,'Partial Flow'!$A$5:$A$104,0))*I33))</f>
        <v/>
      </c>
      <c r="M33" s="18">
        <f>IF(J33="","",IF(J33&lt;=1,"OK","Over"))</f>
        <v/>
      </c>
      <c r="N33" s="18">
        <f>IF(L33="","",IF(L33&lt;'Pipe Check'!$B$10,"Low",IF(L33&gt;'Pipe Check'!$B$11,"High","OK")))</f>
        <v/>
      </c>
    </row>
    <row r="34">
      <c r="A34" s="17" t="n"/>
      <c r="B34" s="17" t="n"/>
      <c r="C34" s="17" t="n"/>
      <c r="D34" s="5" t="n"/>
      <c r="E34" s="6" t="n"/>
      <c r="F34" s="7" t="n"/>
      <c r="G34" s="8" t="n"/>
      <c r="H34" s="11">
        <f>IF(OR(D34="",E34="",F34=""),"",1000*(1/F34)*(PI()*(D34/1000)^2/4)*((D34/1000)/4)^(2/3)*SQRT(E34/100))</f>
        <v/>
      </c>
      <c r="I34" s="12">
        <f>IF(H34="","",(H34/1000)/(PI()*(D34/1000)^2/4))</f>
        <v/>
      </c>
      <c r="J34" s="12">
        <f>IF(OR(H34="",G34=""),"",G34/H34)</f>
        <v/>
      </c>
      <c r="K34" s="12">
        <f>IF(J34="","",IF(J34&gt;1,"Surch.",INDEX('Partial Flow'!$A$5:$A$97,IFERROR(MATCH(J34,'Partial Flow'!$C$5:$C$97,1),0)+IF(ISNA(MATCH(J34,'Partial Flow'!$C$5:$C$97,0)),1,0))))</f>
        <v/>
      </c>
      <c r="L34" s="12">
        <f>IF(J34="","",IF(J34&gt;1,(G34/1000)/(PI()*(D34/1000)^2/4),INDEX('Partial Flow'!$D$5:$D$104,MATCH(K34,'Partial Flow'!$A$5:$A$104,0))*I34))</f>
        <v/>
      </c>
      <c r="M34" s="18">
        <f>IF(J34="","",IF(J34&lt;=1,"OK","Over"))</f>
        <v/>
      </c>
      <c r="N34" s="18">
        <f>IF(L34="","",IF(L34&lt;'Pipe Check'!$B$10,"Low",IF(L34&gt;'Pipe Check'!$B$11,"High","OK")))</f>
        <v/>
      </c>
    </row>
  </sheetData>
  <conditionalFormatting sqref="M5:N34">
    <cfRule type="expression" priority="1" dxfId="0">
      <formula>M5="OK"</formula>
    </cfRule>
    <cfRule type="expression" priority="2" dxfId="1">
      <formula>AND(M5&lt;&gt;"",M5&lt;&gt;"OK")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2026-10-16T18:58:28Z</dcterms:created>
  <dcterms:modified xsi:type="dcterms:W3CDTF">2026-10-16T18:58:28Z</dcterms:modified>
</cp:coreProperties>
</file>